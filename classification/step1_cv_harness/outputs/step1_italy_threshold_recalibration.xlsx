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y Recalibration" sheetId="1" state="visible" r:id="rId1"/>
    <sheet xmlns:r="http://schemas.openxmlformats.org/officeDocument/2006/relationships" name="Overall Mixed-Policy Impact" sheetId="2" state="visible" r:id="rId2"/>
    <sheet xmlns:r="http://schemas.openxmlformats.org/officeDocument/2006/relationships" name="Methodology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FB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pivotButton="0" quotePrefix="0" xfId="0"/>
    <xf numFmtId="10" fontId="5" fillId="6" borderId="1" pivotButton="0" quotePrefix="0" xfId="0"/>
    <xf numFmtId="2" fontId="5" fillId="6" borderId="1" pivotButton="0" quotePrefix="0" xfId="0"/>
    <xf numFmtId="0" fontId="5" fillId="0" borderId="1" pivotButton="0" quotePrefix="0" xfId="0"/>
    <xf numFmtId="10" fontId="5" fillId="0" borderId="1" pivotButton="0" quotePrefix="0" xfId="0"/>
    <xf numFmtId="2" fontId="5" fillId="0" borderId="1" pivotButton="0" quotePrefix="0" xfId="0"/>
    <xf numFmtId="0" fontId="5" fillId="7" borderId="1" pivotButton="0" quotePrefix="0" xfId="0"/>
    <xf numFmtId="10" fontId="5" fillId="7" borderId="1" pivotButton="0" quotePrefix="0" xfId="0"/>
    <xf numFmtId="2" fontId="5" fillId="7" borderId="1" pivotButton="0" quotePrefix="0" xfId="0"/>
    <xf numFmtId="0" fontId="5" fillId="8" borderId="1" pivotButton="0" quotePrefix="0" xfId="0"/>
    <xf numFmtId="10" fontId="5" fillId="8" borderId="1" pivotButton="0" quotePrefix="0" xfId="0"/>
    <xf numFmtId="2" fontId="5" fillId="8" borderId="1" pivotButton="0" quotePrefix="0" xfId="0"/>
    <xf numFmtId="0" fontId="4" fillId="0" borderId="1" pivotButton="0" quotePrefix="0" xfId="0"/>
    <xf numFmtId="10" fontId="4" fillId="0" borderId="1" pivotButton="0" quotePrefix="0" xfId="0"/>
    <xf numFmtId="2" fontId="4" fillId="0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Step 1 — Italy Per-Country Threshold Recalibration (nested leave-one-fold-out)</t>
        </is>
      </c>
    </row>
    <row r="2">
      <c r="A2" s="2" t="inlineStr">
        <is>
          <t>Baseline = fixed 0.5 threshold. Recalibrated = leave-one-fold-out nested threshold selection (grid search 0.01-0.99, F1-maximizing on the other 4 folds within each repeat); reported metric never uses a fold's own threshold. Threshold mean/SD is across the 25 (repeat, fold) selections — a large SD means the fold-to-fold threshold is unstable, not just that the point estimate moved. Deployment threshold (last column) is selected non-nested from ALL of a combo's Italy predictions — NOT a valid basis for the metrics shown, only for configuring an actual deployed model. 'Naive/Leaky F1' is that SAME non-nested selection evaluated on its own selection data — a documented negative control showing what recalibration looks like WITHOUT nesting; compare it to Recalibrated F1 to see the leakage gap. Ranked by delta-F1 (Italy), most improved first.</t>
        </is>
      </c>
    </row>
    <row r="4" ht="20" customHeight="1">
      <c r="A4" s="3" t="inlineStr">
        <is>
          <t>Model</t>
        </is>
      </c>
      <c r="B4" s="4" t="inlineStr">
        <is>
          <t>Baseline (thr=0.5)</t>
        </is>
      </c>
      <c r="C4" s="4" t="n"/>
      <c r="D4" s="4" t="n"/>
      <c r="E4" s="5" t="inlineStr">
        <is>
          <t>Recalibrated (nested)</t>
        </is>
      </c>
      <c r="F4" s="5" t="n"/>
      <c r="G4" s="5" t="n"/>
      <c r="H4" s="6" t="inlineStr">
        <is>
          <t>Delta (recal - base)</t>
        </is>
      </c>
      <c r="I4" s="6" t="n"/>
      <c r="J4" s="6" t="n"/>
      <c r="K4" s="7" t="inlineStr">
        <is>
          <t>Naive/Leaky F1 (DO NOT TRUST)</t>
        </is>
      </c>
      <c r="L4" s="3" t="inlineStr">
        <is>
          <t>Threshold Mean</t>
        </is>
      </c>
      <c r="M4" s="3" t="inlineStr">
        <is>
          <t>Threshold SD</t>
        </is>
      </c>
      <c r="N4" s="3" t="inlineStr">
        <is>
          <t>Threshold Min</t>
        </is>
      </c>
      <c r="O4" s="3" t="inlineStr">
        <is>
          <t>Threshold Max</t>
        </is>
      </c>
      <c r="P4" s="3" t="inlineStr">
        <is>
          <t>Deployment Threshold</t>
        </is>
      </c>
    </row>
    <row r="5" ht="30" customHeight="1">
      <c r="A5" s="8" t="n"/>
      <c r="B5" s="9" t="inlineStr">
        <is>
          <t>Precision</t>
        </is>
      </c>
      <c r="C5" s="9" t="inlineStr">
        <is>
          <t>Recall</t>
        </is>
      </c>
      <c r="D5" s="9" t="inlineStr">
        <is>
          <t>F1</t>
        </is>
      </c>
      <c r="E5" s="10" t="inlineStr">
        <is>
          <t>Precision</t>
        </is>
      </c>
      <c r="F5" s="10" t="inlineStr">
        <is>
          <t>Recall</t>
        </is>
      </c>
      <c r="G5" s="10" t="inlineStr">
        <is>
          <t>F1</t>
        </is>
      </c>
      <c r="H5" s="11" t="inlineStr">
        <is>
          <t>Precision</t>
        </is>
      </c>
      <c r="I5" s="11" t="inlineStr">
        <is>
          <t>Recall</t>
        </is>
      </c>
      <c r="J5" s="11" t="inlineStr">
        <is>
          <t>F1</t>
        </is>
      </c>
      <c r="K5" s="8" t="n"/>
      <c r="L5" s="8" t="n"/>
      <c r="M5" s="8" t="n"/>
      <c r="N5" s="8" t="n"/>
      <c r="O5" s="8" t="n"/>
      <c r="P5" s="8" t="n"/>
    </row>
    <row r="6">
      <c r="A6" s="12" t="inlineStr">
        <is>
          <t>MobileNetV3-Small / palpebral</t>
        </is>
      </c>
      <c r="B6" s="13" t="n">
        <v>0.2256057490727302</v>
      </c>
      <c r="C6" s="13" t="n">
        <v>0.46</v>
      </c>
      <c r="D6" s="13" t="n">
        <v>0.3009373530269746</v>
      </c>
      <c r="E6" s="13" t="n">
        <v>0.3042486490147605</v>
      </c>
      <c r="F6" s="13" t="n">
        <v>0.6</v>
      </c>
      <c r="G6" s="13" t="n">
        <v>0.3548431329530496</v>
      </c>
      <c r="H6" s="13">
        <f>E6-B6</f>
        <v/>
      </c>
      <c r="I6" s="13">
        <f>F6-C6</f>
        <v/>
      </c>
      <c r="J6" s="13">
        <f>G6-D6</f>
        <v/>
      </c>
      <c r="K6" s="13" t="n">
        <v>0.3462414578587699</v>
      </c>
      <c r="L6" s="14" t="n">
        <v>0.4398</v>
      </c>
      <c r="M6" s="14" t="n">
        <v>0.3327207287400852</v>
      </c>
      <c r="N6" s="14" t="n">
        <v>0.02</v>
      </c>
      <c r="O6" s="14" t="n">
        <v>0.9350000000000001</v>
      </c>
      <c r="P6" s="14" t="n">
        <v>0.18</v>
      </c>
    </row>
    <row r="7">
      <c r="A7" s="12" t="inlineStr">
        <is>
          <t>ViT-L/16 / palpebral</t>
        </is>
      </c>
      <c r="B7" s="13" t="n">
        <v>0.610246694834401</v>
      </c>
      <c r="C7" s="13" t="n">
        <v>0.77</v>
      </c>
      <c r="D7" s="13" t="n">
        <v>0.6782955516244553</v>
      </c>
      <c r="E7" s="13" t="n">
        <v>0.7557556994089503</v>
      </c>
      <c r="F7" s="13" t="n">
        <v>0.6899999999999999</v>
      </c>
      <c r="G7" s="13" t="n">
        <v>0.7196119196119196</v>
      </c>
      <c r="H7" s="13">
        <f>E7-B7</f>
        <v/>
      </c>
      <c r="I7" s="13">
        <f>F7-C7</f>
        <v/>
      </c>
      <c r="J7" s="13">
        <f>G7-D7</f>
        <v/>
      </c>
      <c r="K7" s="13" t="n">
        <v>0.75</v>
      </c>
      <c r="L7" s="14" t="n">
        <v>0.7542</v>
      </c>
      <c r="M7" s="14" t="n">
        <v>0.07974804072828373</v>
      </c>
      <c r="N7" s="14" t="n">
        <v>0.43</v>
      </c>
      <c r="O7" s="14" t="n">
        <v>0.825</v>
      </c>
      <c r="P7" s="14" t="n">
        <v>0.77</v>
      </c>
    </row>
    <row r="8">
      <c r="A8" s="12" t="inlineStr">
        <is>
          <t>ResNet18 / forniceal_palpebral</t>
        </is>
      </c>
      <c r="B8" s="13" t="n">
        <v>0.5105811465130173</v>
      </c>
      <c r="C8" s="13" t="n">
        <v>0.7789473684210526</v>
      </c>
      <c r="D8" s="13" t="n">
        <v>0.6071683463979095</v>
      </c>
      <c r="E8" s="13" t="n">
        <v>0.6405082559339526</v>
      </c>
      <c r="F8" s="13" t="n">
        <v>0.6210526315789473</v>
      </c>
      <c r="G8" s="13" t="n">
        <v>0.6288773215089005</v>
      </c>
      <c r="H8" s="13">
        <f>E8-B8</f>
        <v/>
      </c>
      <c r="I8" s="13">
        <f>F8-C8</f>
        <v/>
      </c>
      <c r="J8" s="13">
        <f>G8-D8</f>
        <v/>
      </c>
      <c r="K8" s="13" t="n">
        <v>0.6702702702702703</v>
      </c>
      <c r="L8" s="14" t="n">
        <v>0.5844</v>
      </c>
      <c r="M8" s="14" t="n">
        <v>0.0404485269612298</v>
      </c>
      <c r="N8" s="14" t="n">
        <v>0.52</v>
      </c>
      <c r="O8" s="14" t="n">
        <v>0.675</v>
      </c>
      <c r="P8" s="14" t="n">
        <v>0.57</v>
      </c>
    </row>
    <row r="9">
      <c r="A9" s="15" t="inlineStr">
        <is>
          <t>DenseNet121 / palpebral</t>
        </is>
      </c>
      <c r="B9" s="16" t="n">
        <v>0.4768550724637681</v>
      </c>
      <c r="C9" s="16" t="n">
        <v>0.7</v>
      </c>
      <c r="D9" s="16" t="n">
        <v>0.5552323232323232</v>
      </c>
      <c r="E9" s="16" t="n">
        <v>0.6164815576580283</v>
      </c>
      <c r="F9" s="16" t="n">
        <v>0.54</v>
      </c>
      <c r="G9" s="16" t="n">
        <v>0.5719950983108877</v>
      </c>
      <c r="H9" s="16">
        <f>E9-B9</f>
        <v/>
      </c>
      <c r="I9" s="16">
        <f>F9-C9</f>
        <v/>
      </c>
      <c r="J9" s="16">
        <f>G9-D9</f>
        <v/>
      </c>
      <c r="K9" s="16" t="n">
        <v>0.574585635359116</v>
      </c>
      <c r="L9" s="17" t="n">
        <v>0.5488000000000001</v>
      </c>
      <c r="M9" s="17" t="n">
        <v>0.05590691668598199</v>
      </c>
      <c r="N9" s="17" t="n">
        <v>0.415</v>
      </c>
      <c r="O9" s="17" t="n">
        <v>0.625</v>
      </c>
      <c r="P9" s="17" t="n">
        <v>0.58</v>
      </c>
    </row>
    <row r="10">
      <c r="A10" s="18" t="inlineStr">
        <is>
          <t>EfficientNet-B0 / forniceal_palpebral</t>
        </is>
      </c>
      <c r="B10" s="19" t="n">
        <v>0.662002063983488</v>
      </c>
      <c r="C10" s="19" t="n">
        <v>0.6</v>
      </c>
      <c r="D10" s="19" t="n">
        <v>0.6285945388112572</v>
      </c>
      <c r="E10" s="19" t="n">
        <v>0.6269323308270677</v>
      </c>
      <c r="F10" s="19" t="n">
        <v>0.6631578947368422</v>
      </c>
      <c r="G10" s="19" t="n">
        <v>0.635916580619828</v>
      </c>
      <c r="H10" s="19">
        <f>E10-B10</f>
        <v/>
      </c>
      <c r="I10" s="19">
        <f>F10-C10</f>
        <v/>
      </c>
      <c r="J10" s="19">
        <f>G10-D10</f>
        <v/>
      </c>
      <c r="K10" s="19" t="n">
        <v>0.648936170212766</v>
      </c>
      <c r="L10" s="20" t="n">
        <v>0.4495999999999999</v>
      </c>
      <c r="M10" s="20" t="n">
        <v>0.09106911294908573</v>
      </c>
      <c r="N10" s="20" t="n">
        <v>0.33</v>
      </c>
      <c r="O10" s="20" t="n">
        <v>0.645</v>
      </c>
      <c r="P10" s="20" t="n">
        <v>0.48</v>
      </c>
    </row>
    <row r="11">
      <c r="A11" s="15" t="inlineStr">
        <is>
          <t>ResNet18 / palpebral</t>
        </is>
      </c>
      <c r="B11" s="16" t="n">
        <v>0.6303846153846153</v>
      </c>
      <c r="C11" s="16" t="n">
        <v>0.74</v>
      </c>
      <c r="D11" s="16" t="n">
        <v>0.6781398823869662</v>
      </c>
      <c r="E11" s="16" t="n">
        <v>0.6930492898913952</v>
      </c>
      <c r="F11" s="16" t="n">
        <v>0.6699999999999999</v>
      </c>
      <c r="G11" s="16" t="n">
        <v>0.6808643560119811</v>
      </c>
      <c r="H11" s="16">
        <f>E11-B11</f>
        <v/>
      </c>
      <c r="I11" s="16">
        <f>F11-C11</f>
        <v/>
      </c>
      <c r="J11" s="16">
        <f>G11-D11</f>
        <v/>
      </c>
      <c r="K11" s="16" t="n">
        <v>0.6956521739130435</v>
      </c>
      <c r="L11" s="17" t="n">
        <v>0.6002000000000001</v>
      </c>
      <c r="M11" s="17" t="n">
        <v>0.08925011671327569</v>
      </c>
      <c r="N11" s="17" t="n">
        <v>0.47</v>
      </c>
      <c r="O11" s="17" t="n">
        <v>0.715</v>
      </c>
      <c r="P11" s="17" t="n">
        <v>0.54</v>
      </c>
    </row>
    <row r="12">
      <c r="A12" s="21" t="inlineStr">
        <is>
          <t>DenseNet121 / forniceal_palpebral</t>
        </is>
      </c>
      <c r="B12" s="22" t="n">
        <v>0.5295659229208926</v>
      </c>
      <c r="C12" s="22" t="n">
        <v>0.7894736842105263</v>
      </c>
      <c r="D12" s="22" t="n">
        <v>0.6318400602093325</v>
      </c>
      <c r="E12" s="22" t="n">
        <v>0.6014677206851119</v>
      </c>
      <c r="F12" s="22" t="n">
        <v>0.6736842105263159</v>
      </c>
      <c r="G12" s="22" t="n">
        <v>0.6309038361902797</v>
      </c>
      <c r="H12" s="22">
        <f>E12-B12</f>
        <v/>
      </c>
      <c r="I12" s="22">
        <f>F12-C12</f>
        <v/>
      </c>
      <c r="J12" s="22">
        <f>G12-D12</f>
        <v/>
      </c>
      <c r="K12" s="22" t="n">
        <v>0.6666666666666666</v>
      </c>
      <c r="L12" s="23" t="n">
        <v>0.5988</v>
      </c>
      <c r="M12" s="23" t="n">
        <v>0.08254140375189493</v>
      </c>
      <c r="N12" s="23" t="n">
        <v>0.46</v>
      </c>
      <c r="O12" s="23" t="n">
        <v>0.73</v>
      </c>
      <c r="P12" s="23" t="n">
        <v>0.66</v>
      </c>
    </row>
    <row r="13">
      <c r="A13" s="21" t="inlineStr">
        <is>
          <t>ConvNeXt-Tiny / forniceal_palpebral</t>
        </is>
      </c>
      <c r="B13" s="22" t="n">
        <v>0.4991653865847415</v>
      </c>
      <c r="C13" s="22" t="n">
        <v>0.8</v>
      </c>
      <c r="D13" s="22" t="n">
        <v>0.611926642309621</v>
      </c>
      <c r="E13" s="22" t="n">
        <v>0.5502478632478632</v>
      </c>
      <c r="F13" s="22" t="n">
        <v>0.6736842105263159</v>
      </c>
      <c r="G13" s="22" t="n">
        <v>0.6031942301709743</v>
      </c>
      <c r="H13" s="22">
        <f>E13-B13</f>
        <v/>
      </c>
      <c r="I13" s="22">
        <f>F13-C13</f>
        <v/>
      </c>
      <c r="J13" s="22">
        <f>G13-D13</f>
        <v/>
      </c>
      <c r="K13" s="22" t="n">
        <v>0.6542056074766355</v>
      </c>
      <c r="L13" s="23" t="n">
        <v>0.7356</v>
      </c>
      <c r="M13" s="23" t="n">
        <v>0.2436584015926122</v>
      </c>
      <c r="N13" s="23" t="n">
        <v>0.215</v>
      </c>
      <c r="O13" s="23" t="n">
        <v>0.99</v>
      </c>
      <c r="P13" s="23" t="n">
        <v>0.79</v>
      </c>
    </row>
    <row r="14">
      <c r="A14" s="21" t="inlineStr">
        <is>
          <t>EfficientNet-B0 / palpebral</t>
        </is>
      </c>
      <c r="B14" s="22" t="n">
        <v>0.2898422824738614</v>
      </c>
      <c r="C14" s="22" t="n">
        <v>0.38</v>
      </c>
      <c r="D14" s="22" t="n">
        <v>0.3244758196071476</v>
      </c>
      <c r="E14" s="22" t="n">
        <v>0.2348115299334811</v>
      </c>
      <c r="F14" s="22" t="n">
        <v>0.46</v>
      </c>
      <c r="G14" s="22" t="n">
        <v>0.3072919117839308</v>
      </c>
      <c r="H14" s="22">
        <f>E14-B14</f>
        <v/>
      </c>
      <c r="I14" s="22">
        <f>F14-C14</f>
        <v/>
      </c>
      <c r="J14" s="22">
        <f>G14-D14</f>
        <v/>
      </c>
      <c r="K14" s="22" t="n">
        <v>0.3966480446927375</v>
      </c>
      <c r="L14" s="23" t="n">
        <v>0.4221999999999999</v>
      </c>
      <c r="M14" s="23" t="n">
        <v>0.139739937025891</v>
      </c>
      <c r="N14" s="23" t="n">
        <v>0.16</v>
      </c>
      <c r="O14" s="23" t="n">
        <v>0.66</v>
      </c>
      <c r="P14" s="23" t="n">
        <v>0.34</v>
      </c>
    </row>
    <row r="15">
      <c r="A15" s="21" t="inlineStr">
        <is>
          <t>RegNetY-400MF / forniceal_palpebral</t>
        </is>
      </c>
      <c r="B15" s="22" t="n">
        <v>0.7425366300366301</v>
      </c>
      <c r="C15" s="22" t="n">
        <v>0.5473684210526315</v>
      </c>
      <c r="D15" s="22" t="n">
        <v>0.628147605083089</v>
      </c>
      <c r="E15" s="22" t="n">
        <v>0.5714621848739496</v>
      </c>
      <c r="F15" s="22" t="n">
        <v>0.6631578947368422</v>
      </c>
      <c r="G15" s="22" t="n">
        <v>0.6104157857646231</v>
      </c>
      <c r="H15" s="22">
        <f>E15-B15</f>
        <v/>
      </c>
      <c r="I15" s="22">
        <f>F15-C15</f>
        <v/>
      </c>
      <c r="J15" s="22">
        <f>G15-D15</f>
        <v/>
      </c>
      <c r="K15" s="22" t="n">
        <v>0.6697674418604651</v>
      </c>
      <c r="L15" s="23" t="n">
        <v>0.4236000000000001</v>
      </c>
      <c r="M15" s="23" t="n">
        <v>0.06260857236300262</v>
      </c>
      <c r="N15" s="23" t="n">
        <v>0.3</v>
      </c>
      <c r="O15" s="23" t="n">
        <v>0.64</v>
      </c>
      <c r="P15" s="23" t="n">
        <v>0.4</v>
      </c>
    </row>
    <row r="16">
      <c r="A16" s="21" t="inlineStr">
        <is>
          <t>Swin-Tiny / forniceal_palpebral</t>
        </is>
      </c>
      <c r="B16" s="22" t="n">
        <v>0.5132406947890819</v>
      </c>
      <c r="C16" s="22" t="n">
        <v>0.7578947368421053</v>
      </c>
      <c r="D16" s="22" t="n">
        <v>0.6108661078873845</v>
      </c>
      <c r="E16" s="22" t="n">
        <v>0.5856706699098003</v>
      </c>
      <c r="F16" s="22" t="n">
        <v>0.6105263157894736</v>
      </c>
      <c r="G16" s="22" t="n">
        <v>0.591142993782879</v>
      </c>
      <c r="H16" s="22">
        <f>E16-B16</f>
        <v/>
      </c>
      <c r="I16" s="22">
        <f>F16-C16</f>
        <v/>
      </c>
      <c r="J16" s="22">
        <f>G16-D16</f>
        <v/>
      </c>
      <c r="K16" s="22" t="n">
        <v>0.6304347826086957</v>
      </c>
      <c r="L16" s="23" t="n">
        <v>0.7046000000000001</v>
      </c>
      <c r="M16" s="23" t="n">
        <v>0.246453680570339</v>
      </c>
      <c r="N16" s="23" t="n">
        <v>0.28</v>
      </c>
      <c r="O16" s="23" t="n">
        <v>0.975</v>
      </c>
      <c r="P16" s="23" t="n">
        <v>0.83</v>
      </c>
    </row>
    <row r="17">
      <c r="A17" s="21" t="inlineStr">
        <is>
          <t>ConvNeXt-Tiny / palpebral</t>
        </is>
      </c>
      <c r="B17" s="22" t="n">
        <v>0.5717435897435899</v>
      </c>
      <c r="C17" s="22" t="n">
        <v>0.72</v>
      </c>
      <c r="D17" s="22" t="n">
        <v>0.6372244180939833</v>
      </c>
      <c r="E17" s="22" t="n">
        <v>0.5867385855944208</v>
      </c>
      <c r="F17" s="22" t="n">
        <v>0.6399999999999999</v>
      </c>
      <c r="G17" s="22" t="n">
        <v>0.6111139758332045</v>
      </c>
      <c r="H17" s="22">
        <f>E17-B17</f>
        <v/>
      </c>
      <c r="I17" s="22">
        <f>F17-C17</f>
        <v/>
      </c>
      <c r="J17" s="22">
        <f>G17-D17</f>
        <v/>
      </c>
      <c r="K17" s="22" t="n">
        <v>0.663594470046083</v>
      </c>
      <c r="L17" s="23" t="n">
        <v>0.5242</v>
      </c>
      <c r="M17" s="23" t="n">
        <v>0.07370662566327851</v>
      </c>
      <c r="N17" s="23" t="n">
        <v>0.37</v>
      </c>
      <c r="O17" s="23" t="n">
        <v>0.645</v>
      </c>
      <c r="P17" s="23" t="n">
        <v>0.52</v>
      </c>
    </row>
    <row r="18">
      <c r="A18" s="21" t="inlineStr">
        <is>
          <t>ViT-B/16 / forniceal_palpebral</t>
        </is>
      </c>
      <c r="B18" s="22" t="n">
        <v>0.5489298245614036</v>
      </c>
      <c r="C18" s="22" t="n">
        <v>0.6210526315789474</v>
      </c>
      <c r="D18" s="22" t="n">
        <v>0.5810153127166591</v>
      </c>
      <c r="E18" s="22" t="n">
        <v>0.5044249084249084</v>
      </c>
      <c r="F18" s="22" t="n">
        <v>0.6105263157894736</v>
      </c>
      <c r="G18" s="22" t="n">
        <v>0.5515028332101504</v>
      </c>
      <c r="H18" s="22">
        <f>E18-B18</f>
        <v/>
      </c>
      <c r="I18" s="22">
        <f>F18-C18</f>
        <v/>
      </c>
      <c r="J18" s="22">
        <f>G18-D18</f>
        <v/>
      </c>
      <c r="K18" s="22" t="n">
        <v>0.5919282511210763</v>
      </c>
      <c r="L18" s="23" t="n">
        <v>0.4933999999999999</v>
      </c>
      <c r="M18" s="23" t="n">
        <v>0.1049078961120976</v>
      </c>
      <c r="N18" s="23" t="n">
        <v>0.27</v>
      </c>
      <c r="O18" s="23" t="n">
        <v>0.66</v>
      </c>
      <c r="P18" s="23" t="n">
        <v>0.44</v>
      </c>
    </row>
    <row r="19">
      <c r="A19" s="21" t="inlineStr">
        <is>
          <t>ViT-B/16 / palpebral</t>
        </is>
      </c>
      <c r="B19" s="22" t="n">
        <v>0.5546573426573427</v>
      </c>
      <c r="C19" s="22" t="n">
        <v>0.6700000000000002</v>
      </c>
      <c r="D19" s="22" t="n">
        <v>0.6060179434092479</v>
      </c>
      <c r="E19" s="22" t="n">
        <v>0.5683532650923955</v>
      </c>
      <c r="F19" s="22" t="n">
        <v>0.5900000000000001</v>
      </c>
      <c r="G19" s="22" t="n">
        <v>0.5745533364925627</v>
      </c>
      <c r="H19" s="22">
        <f>E19-B19</f>
        <v/>
      </c>
      <c r="I19" s="22">
        <f>F19-C19</f>
        <v/>
      </c>
      <c r="J19" s="22">
        <f>G19-D19</f>
        <v/>
      </c>
      <c r="K19" s="22" t="n">
        <v>0.6224066390041494</v>
      </c>
      <c r="L19" s="23" t="n">
        <v>0.5331999999999999</v>
      </c>
      <c r="M19" s="23" t="n">
        <v>0.08021949056598818</v>
      </c>
      <c r="N19" s="23" t="n">
        <v>0.43</v>
      </c>
      <c r="O19" s="23" t="n">
        <v>0.65</v>
      </c>
      <c r="P19" s="23" t="n">
        <v>0.44</v>
      </c>
    </row>
    <row r="20">
      <c r="A20" s="21" t="inlineStr">
        <is>
          <t>Swin-Tiny / palpebral</t>
        </is>
      </c>
      <c r="B20" s="22" t="n">
        <v>0.5346031746031746</v>
      </c>
      <c r="C20" s="22" t="n">
        <v>0.6700000000000002</v>
      </c>
      <c r="D20" s="22" t="n">
        <v>0.5925918762088974</v>
      </c>
      <c r="E20" s="22" t="n">
        <v>0.5475776942355889</v>
      </c>
      <c r="F20" s="22" t="n">
        <v>0.58</v>
      </c>
      <c r="G20" s="22" t="n">
        <v>0.5562059620596206</v>
      </c>
      <c r="H20" s="22">
        <f>E20-B20</f>
        <v/>
      </c>
      <c r="I20" s="22">
        <f>F20-C20</f>
        <v/>
      </c>
      <c r="J20" s="22">
        <f>G20-D20</f>
        <v/>
      </c>
      <c r="K20" s="22" t="n">
        <v>0.6101694915254238</v>
      </c>
      <c r="L20" s="23" t="n">
        <v>0.5328000000000001</v>
      </c>
      <c r="M20" s="23" t="n">
        <v>0.167226642614148</v>
      </c>
      <c r="N20" s="23" t="n">
        <v>0.2</v>
      </c>
      <c r="O20" s="23" t="n">
        <v>0.86</v>
      </c>
      <c r="P20" s="23" t="n">
        <v>0.44</v>
      </c>
    </row>
    <row r="21">
      <c r="A21" s="21" t="inlineStr">
        <is>
          <t>MobileNetV3-Small / forniceal_palpebral</t>
        </is>
      </c>
      <c r="B21" s="22" t="n">
        <v>0.3471167190280368</v>
      </c>
      <c r="C21" s="22" t="n">
        <v>0.7684210526315789</v>
      </c>
      <c r="D21" s="22" t="n">
        <v>0.4752889773712409</v>
      </c>
      <c r="E21" s="22" t="n">
        <v>0.3536604044559981</v>
      </c>
      <c r="F21" s="22" t="n">
        <v>0.6</v>
      </c>
      <c r="G21" s="22" t="n">
        <v>0.4377745438865982</v>
      </c>
      <c r="H21" s="22">
        <f>E21-B21</f>
        <v/>
      </c>
      <c r="I21" s="22">
        <f>F21-C21</f>
        <v/>
      </c>
      <c r="J21" s="22">
        <f>G21-D21</f>
        <v/>
      </c>
      <c r="K21" s="22" t="n">
        <v>0.5060240963855421</v>
      </c>
      <c r="L21" s="23" t="n">
        <v>0.5594</v>
      </c>
      <c r="M21" s="23" t="n">
        <v>0.05196793883411834</v>
      </c>
      <c r="N21" s="23" t="n">
        <v>0.46</v>
      </c>
      <c r="O21" s="23" t="n">
        <v>0.635</v>
      </c>
      <c r="P21" s="23" t="n">
        <v>0.5600000000000001</v>
      </c>
    </row>
    <row r="22">
      <c r="A22" s="21" t="inlineStr">
        <is>
          <t>ViT-L/16 / forniceal_palpebral</t>
        </is>
      </c>
      <c r="B22" s="22" t="n">
        <v>0.6347193675889328</v>
      </c>
      <c r="C22" s="22" t="n">
        <v>0.7684210526315789</v>
      </c>
      <c r="D22" s="22" t="n">
        <v>0.6948157533523387</v>
      </c>
      <c r="E22" s="22" t="n">
        <v>0.5757026666282565</v>
      </c>
      <c r="F22" s="22" t="n">
        <v>0.7263157894736841</v>
      </c>
      <c r="G22" s="22" t="n">
        <v>0.637996440376303</v>
      </c>
      <c r="H22" s="22">
        <f>E22-B22</f>
        <v/>
      </c>
      <c r="I22" s="22">
        <f>F22-C22</f>
        <v/>
      </c>
      <c r="J22" s="22">
        <f>G22-D22</f>
        <v/>
      </c>
      <c r="K22" s="22" t="n">
        <v>0.7</v>
      </c>
      <c r="L22" s="23" t="n">
        <v>0.4933999999999999</v>
      </c>
      <c r="M22" s="23" t="n">
        <v>0.09684308614110421</v>
      </c>
      <c r="N22" s="23" t="n">
        <v>0.375</v>
      </c>
      <c r="O22" s="23" t="n">
        <v>0.725</v>
      </c>
      <c r="P22" s="23" t="n">
        <v>0.47</v>
      </c>
    </row>
    <row r="23">
      <c r="A23" s="21" t="inlineStr">
        <is>
          <t>RegNetY-400MF / palpebral</t>
        </is>
      </c>
      <c r="B23" s="22" t="n">
        <v>0.7977380952380952</v>
      </c>
      <c r="C23" s="22" t="n">
        <v>0.5900000000000001</v>
      </c>
      <c r="D23" s="22" t="n">
        <v>0.6778898225957048</v>
      </c>
      <c r="E23" s="22" t="n">
        <v>0.5614087095208377</v>
      </c>
      <c r="F23" s="22" t="n">
        <v>0.66</v>
      </c>
      <c r="G23" s="22" t="n">
        <v>0.6024267234885927</v>
      </c>
      <c r="H23" s="22">
        <f>E23-B23</f>
        <v/>
      </c>
      <c r="I23" s="22">
        <f>F23-C23</f>
        <v/>
      </c>
      <c r="J23" s="22">
        <f>G23-D23</f>
        <v/>
      </c>
      <c r="K23" s="22" t="n">
        <v>0.6931818181818182</v>
      </c>
      <c r="L23" s="23" t="n">
        <v>0.4038</v>
      </c>
      <c r="M23" s="23" t="n">
        <v>0.09437602096577993</v>
      </c>
      <c r="N23" s="23" t="n">
        <v>0.255</v>
      </c>
      <c r="O23" s="23" t="n">
        <v>0.525</v>
      </c>
      <c r="P23" s="23" t="n">
        <v>0.49</v>
      </c>
    </row>
    <row r="24">
      <c r="A24" s="24" t="inlineStr">
        <is>
          <t>AVERAGE</t>
        </is>
      </c>
      <c r="B24" s="25">
        <f>AVERAGE(B6:B23)</f>
        <v/>
      </c>
      <c r="C24" s="25">
        <f>AVERAGE(C6:C23)</f>
        <v/>
      </c>
      <c r="D24" s="25">
        <f>AVERAGE(D6:D23)</f>
        <v/>
      </c>
      <c r="E24" s="25">
        <f>AVERAGE(E6:E23)</f>
        <v/>
      </c>
      <c r="F24" s="25">
        <f>AVERAGE(F6:F23)</f>
        <v/>
      </c>
      <c r="G24" s="25">
        <f>AVERAGE(G6:G23)</f>
        <v/>
      </c>
      <c r="H24" s="25">
        <f>AVERAGE(H6:H23)</f>
        <v/>
      </c>
      <c r="I24" s="25">
        <f>AVERAGE(I6:I23)</f>
        <v/>
      </c>
      <c r="J24" s="25">
        <f>AVERAGE(J6:J23)</f>
        <v/>
      </c>
      <c r="K24" s="25">
        <f>AVERAGE(K6:K23)</f>
        <v/>
      </c>
      <c r="L24" s="26">
        <f>AVERAGE(L6:L23)</f>
        <v/>
      </c>
      <c r="M24" s="26">
        <f>AVERAGE(M6:M23)</f>
        <v/>
      </c>
      <c r="N24" s="26">
        <f>AVERAGE(N6:N23)</f>
        <v/>
      </c>
      <c r="O24" s="26">
        <f>AVERAGE(O6:O23)</f>
        <v/>
      </c>
      <c r="P24" s="26">
        <f>AVERAGE(P6:P23)</f>
        <v/>
      </c>
    </row>
    <row r="25">
      <c r="A25" s="24" t="inlineStr">
        <is>
          <t>COUNT(nested delta F1 &gt; 0)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4">
        <f>COUNTIF(J6:J23,"&gt;0")</f>
        <v/>
      </c>
      <c r="K25" s="27" t="n"/>
      <c r="L25" s="27" t="n"/>
      <c r="M25" s="27" t="n"/>
      <c r="N25" s="27" t="n"/>
      <c r="O25" s="27" t="n"/>
      <c r="P25" s="27" t="n"/>
    </row>
    <row r="26">
      <c r="A26" s="24" t="inlineStr">
        <is>
          <t>COUNT(naive/leaky F1 &gt; baseline)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4">
        <f>SUMPRODUCT((K6:K23&gt;D6:D23)*1)</f>
        <v/>
      </c>
      <c r="L26" s="27" t="n"/>
      <c r="M26" s="27" t="n"/>
      <c r="N26" s="27" t="n"/>
      <c r="O26" s="27" t="n"/>
      <c r="P26" s="27" t="n"/>
    </row>
  </sheetData>
  <mergeCells count="12">
    <mergeCell ref="M4:M5"/>
    <mergeCell ref="A1:M1"/>
    <mergeCell ref="A4:A5"/>
    <mergeCell ref="B4:D4"/>
    <mergeCell ref="H4:J4"/>
    <mergeCell ref="K4:K5"/>
    <mergeCell ref="L4:L5"/>
    <mergeCell ref="N4:N5"/>
    <mergeCell ref="O4:O5"/>
    <mergeCell ref="E4:G4"/>
    <mergeCell ref="P4:P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Overall Impact of Recalibrating Only Italy (India stays fixed at 0.5)</t>
        </is>
      </c>
    </row>
    <row r="2">
      <c r="A2" s="2" t="inlineStr">
        <is>
          <t>'Baseline overall' = both countries at fixed 0.5. 'Mixed policy' = India kept at 0.5 (India's deficit is AUC/discrimination, not calibration — recalibrating its threshold would not address the real problem) while Italy uses its own nested recalibrated threshold. This is the number that reflects what a deployed system combining both country policies would actually see.</t>
        </is>
      </c>
    </row>
    <row r="4" ht="30" customHeight="1">
      <c r="A4" s="3" t="inlineStr">
        <is>
          <t>Model</t>
        </is>
      </c>
      <c r="B4" s="3" t="inlineStr">
        <is>
          <t>Overall P @0.5</t>
        </is>
      </c>
      <c r="C4" s="3" t="inlineStr">
        <is>
          <t>Overall R @0.5</t>
        </is>
      </c>
      <c r="D4" s="3" t="inlineStr">
        <is>
          <t>Overall F1 @0.5</t>
        </is>
      </c>
      <c r="E4" s="3" t="inlineStr">
        <is>
          <t>Overall P (mixed)</t>
        </is>
      </c>
      <c r="F4" s="3" t="inlineStr">
        <is>
          <t>Overall R (mixed)</t>
        </is>
      </c>
      <c r="G4" s="3" t="inlineStr">
        <is>
          <t>Overall F1 (mixed)</t>
        </is>
      </c>
      <c r="H4" s="3" t="inlineStr">
        <is>
          <t>Delta F1 (mixed - base)</t>
        </is>
      </c>
    </row>
    <row r="5">
      <c r="A5" s="15" t="inlineStr">
        <is>
          <t>DenseNet121 / palpebral</t>
        </is>
      </c>
      <c r="B5" s="16" t="n">
        <v>0.6516553121047503</v>
      </c>
      <c r="C5" s="16" t="n">
        <v>0.8025974025974026</v>
      </c>
      <c r="D5" s="16" t="n">
        <v>0.7164767184319039</v>
      </c>
      <c r="E5" s="16" t="n">
        <v>0.7199164181314556</v>
      </c>
      <c r="F5" s="16" t="n">
        <v>0.7610389610389611</v>
      </c>
      <c r="G5" s="16" t="n">
        <v>0.7389073967098384</v>
      </c>
      <c r="H5" s="16">
        <f>G5-D5</f>
        <v/>
      </c>
    </row>
    <row r="6">
      <c r="A6" s="18" t="inlineStr">
        <is>
          <t>MobileNetV3-Small / palpebral</t>
        </is>
      </c>
      <c r="B6" s="19" t="n">
        <v>0.4718307926472143</v>
      </c>
      <c r="C6" s="19" t="n">
        <v>0.4987012987012987</v>
      </c>
      <c r="D6" s="19" t="n">
        <v>0.481313941499162</v>
      </c>
      <c r="E6" s="19" t="n">
        <v>0.4877032571947826</v>
      </c>
      <c r="F6" s="19" t="n">
        <v>0.535064935064935</v>
      </c>
      <c r="G6" s="19" t="n">
        <v>0.4988903715228675</v>
      </c>
      <c r="H6" s="19">
        <f>G6-D6</f>
        <v/>
      </c>
    </row>
    <row r="7">
      <c r="A7" s="15" t="inlineStr">
        <is>
          <t>ViT-L/16 / palpebral</t>
        </is>
      </c>
      <c r="B7" s="16" t="n">
        <v>0.7178161580973023</v>
      </c>
      <c r="C7" s="16" t="n">
        <v>0.8207792207792208</v>
      </c>
      <c r="D7" s="16" t="n">
        <v>0.7652107604547227</v>
      </c>
      <c r="E7" s="16" t="n">
        <v>0.7617854923889407</v>
      </c>
      <c r="F7" s="16" t="n">
        <v>0.8</v>
      </c>
      <c r="G7" s="16" t="n">
        <v>0.7798549730111348</v>
      </c>
      <c r="H7" s="16">
        <f>G7-D7</f>
        <v/>
      </c>
    </row>
    <row r="8">
      <c r="A8" s="18" t="inlineStr">
        <is>
          <t>ResNet18 / forniceal_palpebral</t>
        </is>
      </c>
      <c r="B8" s="19" t="n">
        <v>0.6678590323885457</v>
      </c>
      <c r="C8" s="19" t="n">
        <v>0.6763157894736842</v>
      </c>
      <c r="D8" s="19" t="n">
        <v>0.6675016254133809</v>
      </c>
      <c r="E8" s="19" t="n">
        <v>0.7338913603921817</v>
      </c>
      <c r="F8" s="19" t="n">
        <v>0.6368421052631579</v>
      </c>
      <c r="G8" s="19" t="n">
        <v>0.6796280758102696</v>
      </c>
      <c r="H8" s="19">
        <f>G8-D8</f>
        <v/>
      </c>
    </row>
    <row r="9">
      <c r="A9" s="15" t="inlineStr">
        <is>
          <t>ConvNeXt-Tiny / forniceal_palpebral</t>
        </is>
      </c>
      <c r="B9" s="16" t="n">
        <v>0.6741179146452739</v>
      </c>
      <c r="C9" s="16" t="n">
        <v>0.7684210526315789</v>
      </c>
      <c r="D9" s="16" t="n">
        <v>0.7174497168258311</v>
      </c>
      <c r="E9" s="16" t="n">
        <v>0.7071886856008226</v>
      </c>
      <c r="F9" s="16" t="n">
        <v>0.736842105263158</v>
      </c>
      <c r="G9" s="16" t="n">
        <v>0.7205939751381546</v>
      </c>
      <c r="H9" s="16">
        <f>G9-D9</f>
        <v/>
      </c>
    </row>
    <row r="10">
      <c r="A10" s="18" t="inlineStr">
        <is>
          <t>ResNet18 / palpebral</t>
        </is>
      </c>
      <c r="B10" s="19" t="n">
        <v>0.6915746967282689</v>
      </c>
      <c r="C10" s="19" t="n">
        <v>0.8</v>
      </c>
      <c r="D10" s="19" t="n">
        <v>0.7415105703638021</v>
      </c>
      <c r="E10" s="19" t="n">
        <v>0.7102888558297307</v>
      </c>
      <c r="F10" s="19" t="n">
        <v>0.7818181818181819</v>
      </c>
      <c r="G10" s="19" t="n">
        <v>0.7441504278267758</v>
      </c>
      <c r="H10" s="19">
        <f>G10-D10</f>
        <v/>
      </c>
    </row>
    <row r="11">
      <c r="A11" s="15" t="inlineStr">
        <is>
          <t>DenseNet121 / forniceal_palpebral</t>
        </is>
      </c>
      <c r="B11" s="16" t="n">
        <v>0.649962148645335</v>
      </c>
      <c r="C11" s="16" t="n">
        <v>0.7421052631578947</v>
      </c>
      <c r="D11" s="16" t="n">
        <v>0.6923368783117068</v>
      </c>
      <c r="E11" s="16" t="n">
        <v>0.6752589965441371</v>
      </c>
      <c r="F11" s="16" t="n">
        <v>0.7131578947368421</v>
      </c>
      <c r="G11" s="16" t="n">
        <v>0.6934594886706836</v>
      </c>
      <c r="H11" s="16">
        <f>G11-D11</f>
        <v/>
      </c>
    </row>
    <row r="12">
      <c r="A12" s="18" t="inlineStr">
        <is>
          <t>MobileNetV3-Small / forniceal_palpebral</t>
        </is>
      </c>
      <c r="B12" s="19" t="n">
        <v>0.5843467112411925</v>
      </c>
      <c r="C12" s="19" t="n">
        <v>0.8078947368421053</v>
      </c>
      <c r="D12" s="19" t="n">
        <v>0.6766176351330663</v>
      </c>
      <c r="E12" s="19" t="n">
        <v>0.6084210131938816</v>
      </c>
      <c r="F12" s="19" t="n">
        <v>0.7657894736842105</v>
      </c>
      <c r="G12" s="19" t="n">
        <v>0.6766949073082992</v>
      </c>
      <c r="H12" s="19">
        <f>G12-D12</f>
        <v/>
      </c>
    </row>
    <row r="13">
      <c r="A13" s="15" t="inlineStr">
        <is>
          <t>Swin-Tiny / forniceal_palpebral</t>
        </is>
      </c>
      <c r="B13" s="16" t="n">
        <v>0.6866436942262208</v>
      </c>
      <c r="C13" s="16" t="n">
        <v>0.7210526315789474</v>
      </c>
      <c r="D13" s="16" t="n">
        <v>0.7019153235204818</v>
      </c>
      <c r="E13" s="16" t="n">
        <v>0.7216339959718955</v>
      </c>
      <c r="F13" s="16" t="n">
        <v>0.6842105263157896</v>
      </c>
      <c r="G13" s="16" t="n">
        <v>0.7013396131801006</v>
      </c>
      <c r="H13" s="16">
        <f>G13-D13</f>
        <v/>
      </c>
    </row>
    <row r="14">
      <c r="A14" s="18" t="inlineStr">
        <is>
          <t>EfficientNet-B0 / forniceal_palpebral</t>
        </is>
      </c>
      <c r="B14" s="19" t="n">
        <v>0.7348383050109716</v>
      </c>
      <c r="C14" s="19" t="n">
        <v>0.868421052631579</v>
      </c>
      <c r="D14" s="19" t="n">
        <v>0.7959921425497039</v>
      </c>
      <c r="E14" s="19" t="n">
        <v>0.7209088224437062</v>
      </c>
      <c r="F14" s="19" t="n">
        <v>0.8842105263157893</v>
      </c>
      <c r="G14" s="19" t="n">
        <v>0.7935373239566058</v>
      </c>
      <c r="H14" s="19">
        <f>G14-D14</f>
        <v/>
      </c>
    </row>
    <row r="15">
      <c r="A15" s="15" t="inlineStr">
        <is>
          <t>ViT-B/16 / palpebral</t>
        </is>
      </c>
      <c r="B15" s="16" t="n">
        <v>0.7225261471489416</v>
      </c>
      <c r="C15" s="16" t="n">
        <v>0.8311688311688311</v>
      </c>
      <c r="D15" s="16" t="n">
        <v>0.7729062389631935</v>
      </c>
      <c r="E15" s="16" t="n">
        <v>0.7309266346001702</v>
      </c>
      <c r="F15" s="16" t="n">
        <v>0.8103896103896104</v>
      </c>
      <c r="G15" s="16" t="n">
        <v>0.768412632307071</v>
      </c>
      <c r="H15" s="16">
        <f>G15-D15</f>
        <v/>
      </c>
    </row>
    <row r="16">
      <c r="A16" s="18" t="inlineStr">
        <is>
          <t>ConvNeXt-Tiny / palpebral</t>
        </is>
      </c>
      <c r="B16" s="19" t="n">
        <v>0.7255632450756169</v>
      </c>
      <c r="C16" s="19" t="n">
        <v>0.8025974025974026</v>
      </c>
      <c r="D16" s="19" t="n">
        <v>0.7620817490936027</v>
      </c>
      <c r="E16" s="19" t="n">
        <v>0.7349274255156608</v>
      </c>
      <c r="F16" s="19" t="n">
        <v>0.7818181818181819</v>
      </c>
      <c r="G16" s="19" t="n">
        <v>0.7574280508379496</v>
      </c>
      <c r="H16" s="19">
        <f>G16-D16</f>
        <v/>
      </c>
    </row>
    <row r="17">
      <c r="A17" s="15" t="inlineStr">
        <is>
          <t>ViT-B/16 / forniceal_palpebral</t>
        </is>
      </c>
      <c r="B17" s="16" t="n">
        <v>0.7254889026559701</v>
      </c>
      <c r="C17" s="16" t="n">
        <v>0.7500000000000001</v>
      </c>
      <c r="D17" s="16" t="n">
        <v>0.73703831403927</v>
      </c>
      <c r="E17" s="16" t="n">
        <v>0.7089831258505956</v>
      </c>
      <c r="F17" s="16" t="n">
        <v>0.7473684210526315</v>
      </c>
      <c r="G17" s="16" t="n">
        <v>0.7272844890958099</v>
      </c>
      <c r="H17" s="16">
        <f>G17-D17</f>
        <v/>
      </c>
    </row>
    <row r="18">
      <c r="A18" s="18" t="inlineStr">
        <is>
          <t>Swin-Tiny / palpebral</t>
        </is>
      </c>
      <c r="B18" s="19" t="n">
        <v>0.6921717778573379</v>
      </c>
      <c r="C18" s="19" t="n">
        <v>0.7610389610389611</v>
      </c>
      <c r="D18" s="19" t="n">
        <v>0.7243759412615354</v>
      </c>
      <c r="E18" s="19" t="n">
        <v>0.6946481035230697</v>
      </c>
      <c r="F18" s="19" t="n">
        <v>0.7376623376623377</v>
      </c>
      <c r="G18" s="19" t="n">
        <v>0.7141482340327633</v>
      </c>
      <c r="H18" s="19">
        <f>G18-D18</f>
        <v/>
      </c>
    </row>
    <row r="19">
      <c r="A19" s="15" t="inlineStr">
        <is>
          <t>RegNetY-400MF / forniceal_palpebral</t>
        </is>
      </c>
      <c r="B19" s="16" t="n">
        <v>0.7143895966904555</v>
      </c>
      <c r="C19" s="16" t="n">
        <v>0.7894736842105263</v>
      </c>
      <c r="D19" s="16" t="n">
        <v>0.7500154085880091</v>
      </c>
      <c r="E19" s="16" t="n">
        <v>0.6749043633711826</v>
      </c>
      <c r="F19" s="16" t="n">
        <v>0.8184210526315789</v>
      </c>
      <c r="G19" s="16" t="n">
        <v>0.7396129008563959</v>
      </c>
      <c r="H19" s="16">
        <f>G19-D19</f>
        <v/>
      </c>
    </row>
    <row r="20">
      <c r="A20" s="18" t="inlineStr">
        <is>
          <t>EfficientNet-B0 / palpebral</t>
        </is>
      </c>
      <c r="B20" s="19" t="n">
        <v>0.5318932112890924</v>
      </c>
      <c r="C20" s="19" t="n">
        <v>0.4519480519480519</v>
      </c>
      <c r="D20" s="19" t="n">
        <v>0.4775321288136622</v>
      </c>
      <c r="E20" s="19" t="n">
        <v>0.4597245954607057</v>
      </c>
      <c r="F20" s="19" t="n">
        <v>0.4727272727272727</v>
      </c>
      <c r="G20" s="19" t="n">
        <v>0.4617183377420012</v>
      </c>
      <c r="H20" s="19">
        <f>G20-D20</f>
        <v/>
      </c>
    </row>
    <row r="21">
      <c r="A21" s="15" t="inlineStr">
        <is>
          <t>ViT-L/16 / forniceal_palpebral</t>
        </is>
      </c>
      <c r="B21" s="16" t="n">
        <v>0.7465478740668614</v>
      </c>
      <c r="C21" s="16" t="n">
        <v>0.7684210526315789</v>
      </c>
      <c r="D21" s="16" t="n">
        <v>0.7572360389023496</v>
      </c>
      <c r="E21" s="16" t="n">
        <v>0.7247102046713552</v>
      </c>
      <c r="F21" s="16" t="n">
        <v>0.7578947368421053</v>
      </c>
      <c r="G21" s="16" t="n">
        <v>0.7405948681807989</v>
      </c>
      <c r="H21" s="16">
        <f>G21-D21</f>
        <v/>
      </c>
    </row>
    <row r="22">
      <c r="A22" s="18" t="inlineStr">
        <is>
          <t>RegNetY-400MF / palpebral</t>
        </is>
      </c>
      <c r="B22" s="19" t="n">
        <v>0.7361430225925222</v>
      </c>
      <c r="C22" s="19" t="n">
        <v>0.8051948051948052</v>
      </c>
      <c r="D22" s="19" t="n">
        <v>0.7689989517819706</v>
      </c>
      <c r="E22" s="19" t="n">
        <v>0.6787244765666498</v>
      </c>
      <c r="F22" s="19" t="n">
        <v>0.8233766233766234</v>
      </c>
      <c r="G22" s="19" t="n">
        <v>0.7437513936862972</v>
      </c>
      <c r="H22" s="19">
        <f>G22-D22</f>
        <v/>
      </c>
    </row>
    <row r="23">
      <c r="A23" s="24" t="inlineStr">
        <is>
          <t>AVERAGE</t>
        </is>
      </c>
      <c r="B23" s="25">
        <f>AVERAGE(B5:B22)</f>
        <v/>
      </c>
      <c r="C23" s="25">
        <f>AVERAGE(C5:C22)</f>
        <v/>
      </c>
      <c r="D23" s="25">
        <f>AVERAGE(D5:D22)</f>
        <v/>
      </c>
      <c r="E23" s="25">
        <f>AVERAGE(E5:E22)</f>
        <v/>
      </c>
      <c r="F23" s="25">
        <f>AVERAGE(F5:F22)</f>
        <v/>
      </c>
      <c r="G23" s="25">
        <f>AVERAGE(G5:G22)</f>
        <v/>
      </c>
      <c r="H23" s="25">
        <f>AVERAGE(H5:H22)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 Notes</t>
        </is>
      </c>
    </row>
    <row r="2"/>
    <row r="3" ht="15" customHeight="1">
      <c r="A3" s="28" t="inlineStr"/>
    </row>
    <row r="4" ht="15" customHeight="1">
      <c r="A4" s="29" t="inlineStr">
        <is>
          <t>HEADLINE RESULT — read this before the leaderboard sheet</t>
        </is>
      </c>
    </row>
    <row r="5" ht="120" customHeight="1">
      <c r="A5" s="28" t="inlineStr">
        <is>
          <t>Under honest nested leave-one-fold-out evaluation, only 6/18 combos actually improved Italy F1 (median delta -0.017, mean -0.012 — i.e. roughly flat to slightly negative overall). A naive, non-nested version of the same threshold search (select on all Italy data, evaluate on that SAME data) makes it LOOK like 18/18 combos improve — see 'NAIVE VS. NESTED' below. Per-country threshold recalibration is therefore NOT a reliable fix for Italy on its own; it helps a minority of combos (notably vit_l_16_palpebral_v2_clean, +0.041 F1 with a comparatively stable threshold) but is not a general solution. Report this as a mostly-negative finding, not a win.</t>
        </is>
      </c>
    </row>
    <row r="6" ht="15" customHeight="1">
      <c r="A6" s="28" t="inlineStr"/>
    </row>
    <row r="7" ht="15" customHeight="1">
      <c r="A7" s="29" t="inlineStr">
        <is>
          <t>WHY THIS EXISTS</t>
        </is>
      </c>
    </row>
    <row r="8" ht="90" customHeight="1">
      <c r="A8" s="28" t="inlineStr">
        <is>
          <t>Italy's F1/precision/recall at a fixed 0.5 threshold look poor across all 18 combos despite Italy having consistently HIGHER pooled AUC than India. AUC is threshold-independent and prevalence-invariant; F1/precision/recall at a fixed cutoff are highly sensitive to base rate. Italy's pool is ~19% anemic, so 0.5 sits in the wrong place for how rare positives actually are — this is a threshold-calibration problem, not a model-discrimination problem.</t>
        </is>
      </c>
    </row>
    <row r="9" ht="15" customHeight="1">
      <c r="A9" s="28" t="inlineStr"/>
    </row>
    <row r="10" ht="15" customHeight="1">
      <c r="A10" s="29" t="inlineStr">
        <is>
          <t>WHY INDIA IS LEFT ALONE</t>
        </is>
      </c>
    </row>
    <row r="11" ht="60" customHeight="1">
      <c r="A11" s="28" t="inlineStr">
        <is>
          <t>India's problem is the opposite: AUC itself is mediocre (0.55-0.70 in several combos), meaning the model does not rank India patients well in the first place. No threshold choice fixes a ranking/discrimination problem — recalibrating India's threshold was deliberately not attempted here, since it would not address the actual deficiency.</t>
        </is>
      </c>
    </row>
    <row r="12" ht="15" customHeight="1">
      <c r="A12" s="28" t="inlineStr"/>
    </row>
    <row r="13" ht="15" customHeight="1">
      <c r="A13" s="29" t="inlineStr">
        <is>
          <t>NESTED LEAVE-ONE-FOLD-OUT PROCEDURE (the 'Recalibrated' columns on sheet 1)</t>
        </is>
      </c>
    </row>
    <row r="14" ht="120" customHeight="1">
      <c r="A14" s="28" t="inlineStr">
        <is>
          <t>For each of the 5 repeats, each of the 5 outer folds' Italy predictions is evaluated using a threshold selected ONLY from the other 4 folds in that repeat (grid search, 0.01 steps from 0.01-0.99, maximizing F1; ties broken by the median of tied thresholds). The 5 folds' held-out confusion counts are pooled per repeat, then the resulting precision/recall/F1 is averaged across the 5 repeats — same 'pool within repeat, average across repeats' design the harness already uses for AUC (cv_stats.bootstrap_auc_cis). No fold ever sets its own threshold, so this is a legitimate estimate of what a pre-committed threshold-selection RULE would achieve on unseen Italy patients — not an optimistic in-sample best case.</t>
        </is>
      </c>
    </row>
    <row r="15" ht="15" customHeight="1">
      <c r="A15" s="28" t="inlineStr"/>
    </row>
    <row r="16" ht="15" customHeight="1">
      <c r="A16" s="29" t="inlineStr">
        <is>
          <t>THRESHOLD STABILITY (mean / SD / min / max columns)</t>
        </is>
      </c>
    </row>
    <row r="17" ht="75" customHeight="1">
      <c r="A17" s="28" t="inlineStr">
        <is>
          <t>These summarize the 25 individual (repeat, fold) threshold selections behind each combo's recalibrated metric. A high SD (e.g. &gt; 0.15) means the F1-optimal threshold swings a lot depending on which ~80-84 Italy patients happened to be in the selection set that time — that combo's 'improvement' is less trustworthy than the same delta-F1 paired with a low SD. This is reported explicitly rather than hidden behind a single averaged number.</t>
        </is>
      </c>
    </row>
    <row r="18" ht="15" customHeight="1">
      <c r="A18" s="28" t="inlineStr"/>
    </row>
    <row r="19" ht="15" customHeight="1">
      <c r="A19" s="29" t="inlineStr">
        <is>
          <t>DEPLOYMENT THRESHOLD (sheet 1, last column) — DO NOT use to justify the reported metrics</t>
        </is>
      </c>
    </row>
    <row r="20" ht="90" customHeight="1">
      <c r="A20" s="28" t="inlineStr">
        <is>
          <t>Selected once from ALL of a combo's Italy out-of-fold predictions pooled together, no nesting. This is the single number you would actually configure a deployed model with, since the nested procedure above legitimately produces up to 25 different per-fold thresholds rather than one. It is NOT independent evidence of performance — it is chosen on the same data it would then be 'tested' on, so citing it alongside the recalibrated F1 as if both were validated the same way would overstate the result.</t>
        </is>
      </c>
    </row>
    <row r="21" ht="15" customHeight="1">
      <c r="A21" s="28" t="inlineStr"/>
    </row>
    <row r="22" ht="15" customHeight="1">
      <c r="A22" s="29" t="inlineStr">
        <is>
          <t>NAIVE VS. NESTED — documented negative control</t>
        </is>
      </c>
    </row>
    <row r="23" ht="105" customHeight="1">
      <c r="A23" s="28" t="inlineStr">
        <is>
          <t>Selecting a single F1-maximizing threshold from ALL of a combo's Italy predictions and evaluating it on that SAME data (no nesting) makes recalibration look like it helps in 18/18 combos ('Naive/Leaky F1' column, sheet 1). Evaluated honestly with nesting, only 6/18 genuinely improve. This gap is measured directly on this project's own data: most of the apparent gain from a fixed post-hoc Italy threshold is overfitting to which ~104 Italy patients happened to be in the pool, not a real, generalizable improvement — consistent with the small per-fold sample (~20 Italy patients held out per fold).</t>
        </is>
      </c>
    </row>
    <row r="24" ht="15" customHeight="1">
      <c r="A24" s="28" t="inlineStr"/>
    </row>
    <row r="25" ht="15" customHeight="1">
      <c r="A25" s="29" t="inlineStr">
        <is>
          <t>WHAT WOULD MAKE THIS STRONGER</t>
        </is>
      </c>
    </row>
    <row r="26" ht="90" customHeight="1">
      <c r="A26" s="28" t="inlineStr">
        <is>
          <t>This recalibration reuses the existing pooled out-of-fold predictions (oof_predictions.csv) — no retraining, no new GPU time. It is a post-hoc correction to the DECISION RULE applied to an already-fixed model, not a change to the model itself. If Italy precision/recall/F1 still needs to improve further after this, the remaining options are model-level: country-stratified pos_weight, focal loss, oversampling Italy-anemic cases, or more Italy-anemic data.</t>
        </is>
      </c>
    </row>
    <row r="27" ht="15" customHeight="1">
      <c r="A27" s="28" t="inlineStr"/>
    </row>
    <row r="28" ht="15" customHeight="1">
      <c r="A28" s="29" t="inlineStr">
        <is>
          <t>SOURCE</t>
        </is>
      </c>
    </row>
    <row r="29" ht="45" customHeight="1">
      <c r="A29" s="28" t="inlineStr">
        <is>
          <t>classification/step1_cv_harness/threshold_recalibration.py — outputs also written to classification/step1_cv_harness/outputs/threshold_recalibration/ (italy_threshold_recalibration.{csv,json,md}).</t>
        </is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2026-08-09T08:00:23Z</dcterms:created>
  <dcterms:modified xmlns:dcterms="http://purl.org/dc/terms/" xmlns:xsi="http://www.w3.org/2001/XMLSchema-instance" xsi:type="dcterms:W3CDTF">2026-08-09T08:00:23Z</dcterms:modified>
</cp:coreProperties>
</file>