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r-Fold Detail" sheetId="2" state="visible" r:id="rId2"/>
    <sheet name="Overa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1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5" customWidth="1" min="1" max="1"/>
  </cols>
  <sheetData>
    <row r="1">
      <c r="A1" s="1" t="inlineStr">
        <is>
          <t>Classification new_way v2 — 3-Fold Retraining Results</t>
        </is>
      </c>
    </row>
    <row r="2">
      <c r="A2" s="2" t="inlineStr">
        <is>
          <t>Source: classification/new_way/Output/version2/logs/*_kfold_summary.json</t>
        </is>
      </c>
    </row>
    <row r="4" ht="15" customHeight="1">
      <c r="A4" s="3" t="inlineStr"/>
    </row>
    <row r="5" ht="15" customHeight="1">
      <c r="A5" s="4" t="inlineStr">
        <is>
          <t>Contents:</t>
        </is>
      </c>
    </row>
    <row r="6" ht="15" customHeight="1">
      <c r="A6" s="3" t="inlineStr">
        <is>
          <t xml:space="preserve">  • 'Overall Summary' — one row per model, aggregated across its 3 folds (mean ± std, computed with live AVERAGE/STDEV formulas referencing the 'Per-Fold Detail' sheet).</t>
        </is>
      </c>
    </row>
    <row r="7" ht="15" customHeight="1">
      <c r="A7" s="3" t="inlineStr">
        <is>
          <t xml:space="preserve">  • 'Per-Fold Detail' — every individual fold's validation and held-out test metrics for all 6 models (18 rows).</t>
        </is>
      </c>
    </row>
    <row r="8" ht="15" customHeight="1">
      <c r="A8" s="3" t="inlineStr"/>
    </row>
    <row r="9" ht="15" customHeight="1">
      <c r="A9" s="4" t="inlineStr">
        <is>
          <t>Methodology notes:</t>
        </is>
      </c>
    </row>
    <row r="10" ht="15" customHeight="1">
      <c r="A10" s="3" t="inlineStr">
        <is>
          <t xml:space="preserve">  • Each model was retrained 3 times (kfold3) using FIXED hyperparameters (a single learning_rate / weight_decay / dropout_rate per model, taken from a prior Optuna search per model — not re-tuned per fold).</t>
        </is>
      </c>
    </row>
    <row r="11" ht="15" customHeight="1">
      <c r="A11" s="3" t="inlineStr">
        <is>
          <t xml:space="preserve">  • 'Test' metrics = performance on each fold's held-out test split; 'India' / 'Italy' columns are the same test split broken down by patient country of origin.</t>
        </is>
      </c>
    </row>
    <row r="12" ht="15" customHeight="1">
      <c r="A12" s="3" t="inlineStr">
        <is>
          <t xml:space="preserve">  • All models use the 'palpebral' conjunctiva crop as input EXCEPT EfficientNet-B3, which uses the 'forniceal_palpebral' crop — this is a genuine difference in input data, not just a naming variant, so EfficientNet-B3 is not a strictly apples-to-apples comparison against the other five.</t>
        </is>
      </c>
    </row>
    <row r="13" ht="15" customHeight="1">
      <c r="A13" s="3" t="inlineStr">
        <is>
          <t xml:space="preserve">  • Best_Val_F1 is the validation-set F1 that selected the checkpoint used for testing (early stopping, patience=15, on ReduceLROnPlateau schedule, max 250 epochs).</t>
        </is>
      </c>
    </row>
    <row r="14" ht="15" customHeight="1">
      <c r="A14" s="3" t="inlineStr">
        <is>
          <t xml:space="preserve">  • Std values use sample standard deviation (n-1 denominator, Excel STDEV), matching the numpy std(ddof=1) used to produce the original JSON logs.</t>
        </is>
      </c>
    </row>
    <row r="15" ht="15" customHeight="1">
      <c r="A15" s="3" t="inlineStr"/>
    </row>
    <row r="16" ht="15" customHeight="1">
      <c r="A16" s="3" t="inlineStr">
        <is>
          <t>Headline read: MaxViT-T has the highest mean test F1 (0.827) and test accuracy (0.848) of the six; EfficientNet-B3 (on the different forniceal_palpebral crop) is the weakest (0.650 / 0.687). All models score noticeably lower on India-only AUC than Italy-only AUC — consistent with the project's documented India/Italy class-balance confound (CLAUDE.md §0.5).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6" customWidth="1" min="4" max="4"/>
    <col width="8" customWidth="1" min="5" max="5"/>
    <col width="7" customWidth="1" min="6" max="6"/>
    <col width="10" customWidth="1" min="7" max="7"/>
    <col width="11" customWidth="1" min="8" max="8"/>
    <col width="9" customWidth="1" min="9" max="9"/>
    <col width="12" customWidth="1" min="10" max="10"/>
    <col width="9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>
      <c r="A1" s="5" t="inlineStr">
        <is>
          <t>Model</t>
        </is>
      </c>
      <c r="B1" s="5" t="inlineStr">
        <is>
          <t>Architecture</t>
        </is>
      </c>
      <c r="C1" s="5" t="inlineStr">
        <is>
          <t>Tissue Crop</t>
        </is>
      </c>
      <c r="D1" s="5" t="inlineStr">
        <is>
          <t>Fold</t>
        </is>
      </c>
      <c r="E1" s="5" t="inlineStr">
        <is>
          <t>N Train</t>
        </is>
      </c>
      <c r="F1" s="5" t="inlineStr">
        <is>
          <t>N Val</t>
        </is>
      </c>
      <c r="G1" s="5" t="inlineStr">
        <is>
          <t>Epochs Run</t>
        </is>
      </c>
      <c r="H1" s="5" t="inlineStr">
        <is>
          <t>Best Val F1</t>
        </is>
      </c>
      <c r="I1" s="5" t="inlineStr">
        <is>
          <t>Test F1</t>
        </is>
      </c>
      <c r="J1" s="5" t="inlineStr">
        <is>
          <t>Test Accuracy</t>
        </is>
      </c>
      <c r="K1" s="5" t="inlineStr">
        <is>
          <t>Test AUC</t>
        </is>
      </c>
      <c r="L1" s="5" t="inlineStr">
        <is>
          <t>India F1</t>
        </is>
      </c>
      <c r="M1" s="5" t="inlineStr">
        <is>
          <t>India Accuracy</t>
        </is>
      </c>
      <c r="N1" s="5" t="inlineStr">
        <is>
          <t>India AUC</t>
        </is>
      </c>
      <c r="O1" s="5" t="inlineStr">
        <is>
          <t>Italy F1</t>
        </is>
      </c>
      <c r="P1" s="5" t="inlineStr">
        <is>
          <t>Italy Accuracy</t>
        </is>
      </c>
      <c r="Q1" s="5" t="inlineStr">
        <is>
          <t>Italy AUC</t>
        </is>
      </c>
    </row>
    <row r="2">
      <c r="A2" s="6" t="inlineStr">
        <is>
          <t>CoAtNet-3</t>
        </is>
      </c>
      <c r="B2" s="7" t="inlineStr">
        <is>
          <t>coatnet_3</t>
        </is>
      </c>
      <c r="C2" s="7" t="inlineStr">
        <is>
          <t>palpebral</t>
        </is>
      </c>
      <c r="D2" s="7" t="n">
        <v>1</v>
      </c>
      <c r="E2" s="7" t="n">
        <v>186</v>
      </c>
      <c r="F2" s="7" t="n">
        <v>62</v>
      </c>
      <c r="G2" s="7" t="n">
        <v>23</v>
      </c>
      <c r="H2" s="8" t="n">
        <v>0.7272727272727273</v>
      </c>
      <c r="I2" s="8" t="n">
        <v>0.7096774193548387</v>
      </c>
      <c r="J2" s="8" t="n">
        <v>0.7272727272727273</v>
      </c>
      <c r="K2" s="8" t="n">
        <v>0.8383458646616542</v>
      </c>
      <c r="L2" s="8" t="n">
        <v>0.7272727272727273</v>
      </c>
      <c r="M2" s="8" t="n">
        <v>0.6</v>
      </c>
      <c r="N2" s="8" t="n">
        <v>0.5227272727272727</v>
      </c>
      <c r="O2" s="8" t="n">
        <v>0.6666666666666666</v>
      </c>
      <c r="P2" s="8" t="n">
        <v>0.8333333333333334</v>
      </c>
      <c r="Q2" s="8" t="n">
        <v>0.9777777777777777</v>
      </c>
    </row>
    <row r="3">
      <c r="A3" s="6" t="inlineStr">
        <is>
          <t>CoAtNet-3</t>
        </is>
      </c>
      <c r="B3" s="7" t="inlineStr">
        <is>
          <t>coatnet_3</t>
        </is>
      </c>
      <c r="C3" s="7" t="inlineStr">
        <is>
          <t>palpebral</t>
        </is>
      </c>
      <c r="D3" s="7" t="n">
        <v>2</v>
      </c>
      <c r="E3" s="7" t="n">
        <v>190</v>
      </c>
      <c r="F3" s="7" t="n">
        <v>61</v>
      </c>
      <c r="G3" s="7" t="n">
        <v>46</v>
      </c>
      <c r="H3" s="8" t="n">
        <v>0.8620689655172413</v>
      </c>
      <c r="I3" s="8" t="n">
        <v>0.7647058823529411</v>
      </c>
      <c r="J3" s="8" t="n">
        <v>0.7575757575757576</v>
      </c>
      <c r="K3" s="8" t="n">
        <v>0.8421052631578947</v>
      </c>
      <c r="L3" s="8" t="n">
        <v>0.8</v>
      </c>
      <c r="M3" s="8" t="n">
        <v>0.6666666666666666</v>
      </c>
      <c r="N3" s="8" t="n">
        <v>0.4318181818181818</v>
      </c>
      <c r="O3" s="8" t="n">
        <v>0.6666666666666666</v>
      </c>
      <c r="P3" s="8" t="n">
        <v>0.8333333333333334</v>
      </c>
      <c r="Q3" s="8" t="n">
        <v>0.9333333333333333</v>
      </c>
    </row>
    <row r="4">
      <c r="A4" s="6" t="inlineStr">
        <is>
          <t>CoAtNet-3</t>
        </is>
      </c>
      <c r="B4" s="7" t="inlineStr">
        <is>
          <t>coatnet_3</t>
        </is>
      </c>
      <c r="C4" s="7" t="inlineStr">
        <is>
          <t>palpebral</t>
        </is>
      </c>
      <c r="D4" s="7" t="n">
        <v>3</v>
      </c>
      <c r="E4" s="7" t="n">
        <v>188</v>
      </c>
      <c r="F4" s="7" t="n">
        <v>61</v>
      </c>
      <c r="G4" s="7" t="n">
        <v>47</v>
      </c>
      <c r="H4" s="8" t="n">
        <v>0.75</v>
      </c>
      <c r="I4" s="8" t="n">
        <v>0.7741935483870968</v>
      </c>
      <c r="J4" s="8" t="n">
        <v>0.7878787878787878</v>
      </c>
      <c r="K4" s="8" t="n">
        <v>0.8947368421052632</v>
      </c>
      <c r="L4" s="8" t="n">
        <v>0.75</v>
      </c>
      <c r="M4" s="8" t="n">
        <v>0.6</v>
      </c>
      <c r="N4" s="8" t="n">
        <v>0.5681818181818181</v>
      </c>
      <c r="O4" s="8" t="n">
        <v>0.8571428571428571</v>
      </c>
      <c r="P4" s="8" t="n">
        <v>0.9444444444444444</v>
      </c>
      <c r="Q4" s="8" t="n">
        <v>1</v>
      </c>
    </row>
    <row r="5">
      <c r="A5" s="6" t="inlineStr">
        <is>
          <t>ConvNeXt-Base</t>
        </is>
      </c>
      <c r="B5" s="7" t="inlineStr">
        <is>
          <t>convnext_base</t>
        </is>
      </c>
      <c r="C5" s="7" t="inlineStr">
        <is>
          <t>palpebral</t>
        </is>
      </c>
      <c r="D5" s="7" t="n">
        <v>1</v>
      </c>
      <c r="E5" s="7" t="n">
        <v>186</v>
      </c>
      <c r="F5" s="7" t="n">
        <v>62</v>
      </c>
      <c r="G5" s="7" t="n">
        <v>240</v>
      </c>
      <c r="H5" s="8" t="n">
        <v>0.7391304347826086</v>
      </c>
      <c r="I5" s="8" t="n">
        <v>0.7692307692307693</v>
      </c>
      <c r="J5" s="8" t="n">
        <v>0.8181818181818182</v>
      </c>
      <c r="K5" s="8" t="n">
        <v>0.9060150375939851</v>
      </c>
      <c r="L5" s="8" t="n">
        <v>0.7777777777777778</v>
      </c>
      <c r="M5" s="8" t="n">
        <v>0.7333333333333333</v>
      </c>
      <c r="N5" s="8" t="n">
        <v>0.7954545454545454</v>
      </c>
      <c r="O5" s="8" t="n">
        <v>0.75</v>
      </c>
      <c r="P5" s="8" t="n">
        <v>0.8888888888888888</v>
      </c>
      <c r="Q5" s="8" t="n">
        <v>1</v>
      </c>
    </row>
    <row r="6">
      <c r="A6" s="6" t="inlineStr">
        <is>
          <t>ConvNeXt-Base</t>
        </is>
      </c>
      <c r="B6" s="7" t="inlineStr">
        <is>
          <t>convnext_base</t>
        </is>
      </c>
      <c r="C6" s="7" t="inlineStr">
        <is>
          <t>palpebral</t>
        </is>
      </c>
      <c r="D6" s="7" t="n">
        <v>2</v>
      </c>
      <c r="E6" s="7" t="n">
        <v>190</v>
      </c>
      <c r="F6" s="7" t="n">
        <v>61</v>
      </c>
      <c r="G6" s="7" t="n">
        <v>250</v>
      </c>
      <c r="H6" s="8" t="n">
        <v>0.7659574468085106</v>
      </c>
      <c r="I6" s="8" t="n">
        <v>0.7407407407407407</v>
      </c>
      <c r="J6" s="8" t="n">
        <v>0.7878787878787878</v>
      </c>
      <c r="K6" s="8" t="n">
        <v>0.9210526315789475</v>
      </c>
      <c r="L6" s="8" t="n">
        <v>0.7777777777777778</v>
      </c>
      <c r="M6" s="8" t="n">
        <v>0.7333333333333333</v>
      </c>
      <c r="N6" s="8" t="n">
        <v>0.8409090909090909</v>
      </c>
      <c r="O6" s="8" t="n">
        <v>0.6666666666666666</v>
      </c>
      <c r="P6" s="8" t="n">
        <v>0.8333333333333334</v>
      </c>
      <c r="Q6" s="8" t="n">
        <v>1</v>
      </c>
    </row>
    <row r="7">
      <c r="A7" s="6" t="inlineStr">
        <is>
          <t>ConvNeXt-Base</t>
        </is>
      </c>
      <c r="B7" s="7" t="inlineStr">
        <is>
          <t>convnext_base</t>
        </is>
      </c>
      <c r="C7" s="7" t="inlineStr">
        <is>
          <t>palpebral</t>
        </is>
      </c>
      <c r="D7" s="7" t="n">
        <v>3</v>
      </c>
      <c r="E7" s="7" t="n">
        <v>188</v>
      </c>
      <c r="F7" s="7" t="n">
        <v>61</v>
      </c>
      <c r="G7" s="7" t="n">
        <v>130</v>
      </c>
      <c r="H7" s="8" t="n">
        <v>0.6938775510204082</v>
      </c>
      <c r="I7" s="8" t="n">
        <v>0.8148148148148148</v>
      </c>
      <c r="J7" s="8" t="n">
        <v>0.8484848484848485</v>
      </c>
      <c r="K7" s="8" t="n">
        <v>0.9172932330827068</v>
      </c>
      <c r="L7" s="8" t="n">
        <v>0.8421052631578947</v>
      </c>
      <c r="M7" s="8" t="n">
        <v>0.8</v>
      </c>
      <c r="N7" s="8" t="n">
        <v>0.7954545454545454</v>
      </c>
      <c r="O7" s="8" t="n">
        <v>0.75</v>
      </c>
      <c r="P7" s="8" t="n">
        <v>0.8888888888888888</v>
      </c>
      <c r="Q7" s="8" t="n">
        <v>1</v>
      </c>
    </row>
    <row r="8">
      <c r="A8" s="6" t="inlineStr">
        <is>
          <t>ConvNeXt-Large</t>
        </is>
      </c>
      <c r="B8" s="7" t="inlineStr">
        <is>
          <t>convnext_large</t>
        </is>
      </c>
      <c r="C8" s="7" t="inlineStr">
        <is>
          <t>palpebral</t>
        </is>
      </c>
      <c r="D8" s="7" t="n">
        <v>1</v>
      </c>
      <c r="E8" s="7" t="n">
        <v>186</v>
      </c>
      <c r="F8" s="7" t="n">
        <v>62</v>
      </c>
      <c r="G8" s="7" t="n">
        <v>196</v>
      </c>
      <c r="H8" s="8" t="n">
        <v>0.7659574468085106</v>
      </c>
      <c r="I8" s="8" t="n">
        <v>0.7857142857142857</v>
      </c>
      <c r="J8" s="8" t="n">
        <v>0.8181818181818182</v>
      </c>
      <c r="K8" s="8" t="n">
        <v>0.8383458646616542</v>
      </c>
      <c r="L8" s="8" t="n">
        <v>0.8421052631578947</v>
      </c>
      <c r="M8" s="8" t="n">
        <v>0.8</v>
      </c>
      <c r="N8" s="8" t="n">
        <v>0.8409090909090909</v>
      </c>
      <c r="O8" s="8" t="n">
        <v>0.6666666666666666</v>
      </c>
      <c r="P8" s="8" t="n">
        <v>0.8333333333333334</v>
      </c>
      <c r="Q8" s="8" t="n">
        <v>1</v>
      </c>
    </row>
    <row r="9">
      <c r="A9" s="6" t="inlineStr">
        <is>
          <t>ConvNeXt-Large</t>
        </is>
      </c>
      <c r="B9" s="7" t="inlineStr">
        <is>
          <t>convnext_large</t>
        </is>
      </c>
      <c r="C9" s="7" t="inlineStr">
        <is>
          <t>palpebral</t>
        </is>
      </c>
      <c r="D9" s="7" t="n">
        <v>2</v>
      </c>
      <c r="E9" s="7" t="n">
        <v>190</v>
      </c>
      <c r="F9" s="7" t="n">
        <v>61</v>
      </c>
      <c r="G9" s="7" t="n">
        <v>250</v>
      </c>
      <c r="H9" s="8" t="n">
        <v>0.7555555555555555</v>
      </c>
      <c r="I9" s="8" t="n">
        <v>0.7692307692307693</v>
      </c>
      <c r="J9" s="8" t="n">
        <v>0.8181818181818182</v>
      </c>
      <c r="K9" s="8" t="n">
        <v>0.9022556390977444</v>
      </c>
      <c r="L9" s="8" t="n">
        <v>0.7777777777777778</v>
      </c>
      <c r="M9" s="8" t="n">
        <v>0.7333333333333333</v>
      </c>
      <c r="N9" s="8" t="n">
        <v>0.8409090909090909</v>
      </c>
      <c r="O9" s="8" t="n">
        <v>0.75</v>
      </c>
      <c r="P9" s="8" t="n">
        <v>0.8888888888888888</v>
      </c>
      <c r="Q9" s="8" t="n">
        <v>1</v>
      </c>
    </row>
    <row r="10">
      <c r="A10" s="6" t="inlineStr">
        <is>
          <t>ConvNeXt-Large</t>
        </is>
      </c>
      <c r="B10" s="7" t="inlineStr">
        <is>
          <t>convnext_large</t>
        </is>
      </c>
      <c r="C10" s="7" t="inlineStr">
        <is>
          <t>palpebral</t>
        </is>
      </c>
      <c r="D10" s="7" t="n">
        <v>3</v>
      </c>
      <c r="E10" s="7" t="n">
        <v>188</v>
      </c>
      <c r="F10" s="7" t="n">
        <v>61</v>
      </c>
      <c r="G10" s="7" t="n">
        <v>163</v>
      </c>
      <c r="H10" s="8" t="n">
        <v>0.6363636363636364</v>
      </c>
      <c r="I10" s="8" t="n">
        <v>0.7333333333333333</v>
      </c>
      <c r="J10" s="8" t="n">
        <v>0.7575757575757576</v>
      </c>
      <c r="K10" s="8" t="n">
        <v>0.9323308270676691</v>
      </c>
      <c r="L10" s="8" t="n">
        <v>0.7619047619047619</v>
      </c>
      <c r="M10" s="8" t="n">
        <v>0.6666666666666666</v>
      </c>
      <c r="N10" s="8" t="n">
        <v>0.8181818181818181</v>
      </c>
      <c r="O10" s="8" t="n">
        <v>0.6666666666666666</v>
      </c>
      <c r="P10" s="8" t="n">
        <v>0.8333333333333334</v>
      </c>
      <c r="Q10" s="8" t="n">
        <v>1</v>
      </c>
    </row>
    <row r="11">
      <c r="A11" s="6" t="inlineStr">
        <is>
          <t>EfficientNet-B3</t>
        </is>
      </c>
      <c r="B11" s="7" t="inlineStr">
        <is>
          <t>efficientnet_b3</t>
        </is>
      </c>
      <c r="C11" s="7" t="inlineStr">
        <is>
          <t>forniceal_palpebral</t>
        </is>
      </c>
      <c r="D11" s="7" t="n">
        <v>1</v>
      </c>
      <c r="E11" s="7" t="n">
        <v>180</v>
      </c>
      <c r="F11" s="7" t="n">
        <v>60</v>
      </c>
      <c r="G11" s="7" t="n">
        <v>24</v>
      </c>
      <c r="H11" s="8" t="n">
        <v>0.7407407407407407</v>
      </c>
      <c r="I11" s="8" t="n">
        <v>0.6875</v>
      </c>
      <c r="J11" s="8" t="n">
        <v>0.696969696969697</v>
      </c>
      <c r="K11" s="8" t="n">
        <v>0.7857142857142858</v>
      </c>
      <c r="L11" s="8" t="n">
        <v>0.7619047619047619</v>
      </c>
      <c r="M11" s="8" t="n">
        <v>0.6666666666666666</v>
      </c>
      <c r="N11" s="8" t="n">
        <v>0.7045454545454546</v>
      </c>
      <c r="O11" s="8" t="n">
        <v>0.5454545454545454</v>
      </c>
      <c r="P11" s="8" t="n">
        <v>0.7222222222222222</v>
      </c>
      <c r="Q11" s="8" t="n">
        <v>0.9555555555555556</v>
      </c>
    </row>
    <row r="12">
      <c r="A12" s="6" t="inlineStr">
        <is>
          <t>EfficientNet-B3</t>
        </is>
      </c>
      <c r="B12" s="7" t="inlineStr">
        <is>
          <t>efficientnet_b3</t>
        </is>
      </c>
      <c r="C12" s="7" t="inlineStr">
        <is>
          <t>forniceal_palpebral</t>
        </is>
      </c>
      <c r="D12" s="7" t="n">
        <v>2</v>
      </c>
      <c r="E12" s="7" t="n">
        <v>183</v>
      </c>
      <c r="F12" s="7" t="n">
        <v>59</v>
      </c>
      <c r="G12" s="7" t="n">
        <v>28</v>
      </c>
      <c r="H12" s="8" t="n">
        <v>0.7777777777777778</v>
      </c>
      <c r="I12" s="8" t="n">
        <v>0.6206896551724138</v>
      </c>
      <c r="J12" s="8" t="n">
        <v>0.6666666666666666</v>
      </c>
      <c r="K12" s="8" t="n">
        <v>0.7142857142857143</v>
      </c>
      <c r="L12" s="8" t="n">
        <v>0.631578947368421</v>
      </c>
      <c r="M12" s="8" t="n">
        <v>0.5333333333333333</v>
      </c>
      <c r="N12" s="8" t="n">
        <v>0.5227272727272727</v>
      </c>
      <c r="O12" s="8" t="n">
        <v>0.6</v>
      </c>
      <c r="P12" s="8" t="n">
        <v>0.7777777777777778</v>
      </c>
      <c r="Q12" s="8" t="n">
        <v>0.9111111111111111</v>
      </c>
    </row>
    <row r="13">
      <c r="A13" s="6" t="inlineStr">
        <is>
          <t>EfficientNet-B3</t>
        </is>
      </c>
      <c r="B13" s="7" t="inlineStr">
        <is>
          <t>efficientnet_b3</t>
        </is>
      </c>
      <c r="C13" s="7" t="inlineStr">
        <is>
          <t>forniceal_palpebral</t>
        </is>
      </c>
      <c r="D13" s="7" t="n">
        <v>3</v>
      </c>
      <c r="E13" s="7" t="n">
        <v>181</v>
      </c>
      <c r="F13" s="7" t="n">
        <v>59</v>
      </c>
      <c r="G13" s="7" t="n">
        <v>21</v>
      </c>
      <c r="H13" s="8" t="n">
        <v>0.6538461538461539</v>
      </c>
      <c r="I13" s="8" t="n">
        <v>0.6428571428571429</v>
      </c>
      <c r="J13" s="8" t="n">
        <v>0.696969696969697</v>
      </c>
      <c r="K13" s="8" t="n">
        <v>0.7443609022556392</v>
      </c>
      <c r="L13" s="8" t="n">
        <v>0.631578947368421</v>
      </c>
      <c r="M13" s="8" t="n">
        <v>0.5333333333333333</v>
      </c>
      <c r="N13" s="8" t="n">
        <v>0.6363636363636364</v>
      </c>
      <c r="O13" s="8" t="n">
        <v>0.6666666666666666</v>
      </c>
      <c r="P13" s="8" t="n">
        <v>0.8333333333333334</v>
      </c>
      <c r="Q13" s="8" t="n">
        <v>0.9111111111111111</v>
      </c>
    </row>
    <row r="14">
      <c r="A14" s="6" t="inlineStr">
        <is>
          <t>MaxViT-T</t>
        </is>
      </c>
      <c r="B14" s="7" t="inlineStr">
        <is>
          <t>maxvit_t</t>
        </is>
      </c>
      <c r="C14" s="7" t="inlineStr">
        <is>
          <t>palpebral</t>
        </is>
      </c>
      <c r="D14" s="7" t="n">
        <v>1</v>
      </c>
      <c r="E14" s="7" t="n">
        <v>186</v>
      </c>
      <c r="F14" s="7" t="n">
        <v>62</v>
      </c>
      <c r="G14" s="7" t="n">
        <v>180</v>
      </c>
      <c r="H14" s="8" t="n">
        <v>0.7924528301886793</v>
      </c>
      <c r="I14" s="8" t="n">
        <v>0.7857142857142857</v>
      </c>
      <c r="J14" s="8" t="n">
        <v>0.8181818181818182</v>
      </c>
      <c r="K14" s="8" t="n">
        <v>0.9398496240601504</v>
      </c>
      <c r="L14" s="8" t="n">
        <v>0.8</v>
      </c>
      <c r="M14" s="8" t="n">
        <v>0.7333333333333333</v>
      </c>
      <c r="N14" s="8" t="n">
        <v>0.8409090909090908</v>
      </c>
      <c r="O14" s="8" t="n">
        <v>0.75</v>
      </c>
      <c r="P14" s="8" t="n">
        <v>0.8888888888888888</v>
      </c>
      <c r="Q14" s="8" t="n">
        <v>1</v>
      </c>
    </row>
    <row r="15">
      <c r="A15" s="6" t="inlineStr">
        <is>
          <t>MaxViT-T</t>
        </is>
      </c>
      <c r="B15" s="7" t="inlineStr">
        <is>
          <t>maxvit_t</t>
        </is>
      </c>
      <c r="C15" s="7" t="inlineStr">
        <is>
          <t>palpebral</t>
        </is>
      </c>
      <c r="D15" s="7" t="n">
        <v>2</v>
      </c>
      <c r="E15" s="7" t="n">
        <v>190</v>
      </c>
      <c r="F15" s="7" t="n">
        <v>61</v>
      </c>
      <c r="G15" s="7" t="n">
        <v>122</v>
      </c>
      <c r="H15" s="8" t="n">
        <v>0.8</v>
      </c>
      <c r="I15" s="8" t="n">
        <v>0.896551724137931</v>
      </c>
      <c r="J15" s="8" t="n">
        <v>0.9090909090909091</v>
      </c>
      <c r="K15" s="8" t="n">
        <v>0.9624060150375939</v>
      </c>
      <c r="L15" s="8" t="n">
        <v>0.9090909090909091</v>
      </c>
      <c r="M15" s="8" t="n">
        <v>0.8666666666666667</v>
      </c>
      <c r="N15" s="8" t="n">
        <v>0.8409090909090908</v>
      </c>
      <c r="O15" s="8" t="n">
        <v>0.8571428571428571</v>
      </c>
      <c r="P15" s="8" t="n">
        <v>0.9444444444444444</v>
      </c>
      <c r="Q15" s="8" t="n">
        <v>1</v>
      </c>
    </row>
    <row r="16">
      <c r="A16" s="6" t="inlineStr">
        <is>
          <t>MaxViT-T</t>
        </is>
      </c>
      <c r="B16" s="7" t="inlineStr">
        <is>
          <t>maxvit_t</t>
        </is>
      </c>
      <c r="C16" s="7" t="inlineStr">
        <is>
          <t>palpebral</t>
        </is>
      </c>
      <c r="D16" s="7" t="n">
        <v>3</v>
      </c>
      <c r="E16" s="7" t="n">
        <v>188</v>
      </c>
      <c r="F16" s="7" t="n">
        <v>61</v>
      </c>
      <c r="G16" s="7" t="n">
        <v>92</v>
      </c>
      <c r="H16" s="8" t="n">
        <v>0.7924528301886793</v>
      </c>
      <c r="I16" s="8" t="n">
        <v>0.8</v>
      </c>
      <c r="J16" s="8" t="n">
        <v>0.8181818181818182</v>
      </c>
      <c r="K16" s="8" t="n">
        <v>0.9210526315789475</v>
      </c>
      <c r="L16" s="8" t="n">
        <v>0.8571428571428571</v>
      </c>
      <c r="M16" s="8" t="n">
        <v>0.8</v>
      </c>
      <c r="N16" s="8" t="n">
        <v>0.8636363636363636</v>
      </c>
      <c r="O16" s="8" t="n">
        <v>0.6666666666666666</v>
      </c>
      <c r="P16" s="8" t="n">
        <v>0.8333333333333334</v>
      </c>
      <c r="Q16" s="8" t="n">
        <v>1</v>
      </c>
    </row>
    <row r="17">
      <c r="A17" s="6" t="inlineStr">
        <is>
          <t>RegNet-Y-16GF</t>
        </is>
      </c>
      <c r="B17" s="7" t="inlineStr">
        <is>
          <t>regnet_y_16gf</t>
        </is>
      </c>
      <c r="C17" s="7" t="inlineStr">
        <is>
          <t>palpebral</t>
        </is>
      </c>
      <c r="D17" s="7" t="n">
        <v>1</v>
      </c>
      <c r="E17" s="7" t="n">
        <v>186</v>
      </c>
      <c r="F17" s="7" t="n">
        <v>62</v>
      </c>
      <c r="G17" s="7" t="n">
        <v>23</v>
      </c>
      <c r="H17" s="8" t="n">
        <v>0.72</v>
      </c>
      <c r="I17" s="8" t="n">
        <v>0.7142857142857143</v>
      </c>
      <c r="J17" s="8" t="n">
        <v>0.7575757575757576</v>
      </c>
      <c r="K17" s="8" t="n">
        <v>0.8721804511278195</v>
      </c>
      <c r="L17" s="8" t="n">
        <v>0.7</v>
      </c>
      <c r="M17" s="8" t="n">
        <v>0.6</v>
      </c>
      <c r="N17" s="8" t="n">
        <v>0.75</v>
      </c>
      <c r="O17" s="8" t="n">
        <v>0.75</v>
      </c>
      <c r="P17" s="8" t="n">
        <v>0.8888888888888888</v>
      </c>
      <c r="Q17" s="8" t="n">
        <v>0.9777777777777777</v>
      </c>
    </row>
    <row r="18">
      <c r="A18" s="6" t="inlineStr">
        <is>
          <t>RegNet-Y-16GF</t>
        </is>
      </c>
      <c r="B18" s="7" t="inlineStr">
        <is>
          <t>regnet_y_16gf</t>
        </is>
      </c>
      <c r="C18" s="7" t="inlineStr">
        <is>
          <t>palpebral</t>
        </is>
      </c>
      <c r="D18" s="7" t="n">
        <v>2</v>
      </c>
      <c r="E18" s="7" t="n">
        <v>190</v>
      </c>
      <c r="F18" s="7" t="n">
        <v>61</v>
      </c>
      <c r="G18" s="7" t="n">
        <v>51</v>
      </c>
      <c r="H18" s="8" t="n">
        <v>0.8275862068965517</v>
      </c>
      <c r="I18" s="8" t="n">
        <v>0.8</v>
      </c>
      <c r="J18" s="8" t="n">
        <v>0.8181818181818182</v>
      </c>
      <c r="K18" s="8" t="n">
        <v>0.9172932330827068</v>
      </c>
      <c r="L18" s="8" t="n">
        <v>0.8571428571428571</v>
      </c>
      <c r="M18" s="8" t="n">
        <v>0.8</v>
      </c>
      <c r="N18" s="8" t="n">
        <v>0.75</v>
      </c>
      <c r="O18" s="8" t="n">
        <v>0.6666666666666666</v>
      </c>
      <c r="P18" s="8" t="n">
        <v>0.8333333333333334</v>
      </c>
      <c r="Q18" s="8" t="n">
        <v>1</v>
      </c>
    </row>
    <row r="19">
      <c r="A19" s="6" t="inlineStr">
        <is>
          <t>RegNet-Y-16GF</t>
        </is>
      </c>
      <c r="B19" s="7" t="inlineStr">
        <is>
          <t>regnet_y_16gf</t>
        </is>
      </c>
      <c r="C19" s="7" t="inlineStr">
        <is>
          <t>palpebral</t>
        </is>
      </c>
      <c r="D19" s="7" t="n">
        <v>3</v>
      </c>
      <c r="E19" s="7" t="n">
        <v>188</v>
      </c>
      <c r="F19" s="7" t="n">
        <v>61</v>
      </c>
      <c r="G19" s="7" t="n">
        <v>26</v>
      </c>
      <c r="H19" s="8" t="n">
        <v>0.78125</v>
      </c>
      <c r="I19" s="8" t="n">
        <v>0.8125</v>
      </c>
      <c r="J19" s="8" t="n">
        <v>0.8181818181818182</v>
      </c>
      <c r="K19" s="8" t="n">
        <v>0.9097744360902256</v>
      </c>
      <c r="L19" s="8" t="n">
        <v>0.8333333333333334</v>
      </c>
      <c r="M19" s="8" t="n">
        <v>0.7333333333333333</v>
      </c>
      <c r="N19" s="8" t="n">
        <v>0.75</v>
      </c>
      <c r="O19" s="8" t="n">
        <v>0.75</v>
      </c>
      <c r="P19" s="8" t="n">
        <v>0.8888888888888888</v>
      </c>
      <c r="Q19" s="8" t="n">
        <v>0.9777777777777777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3" customWidth="1" min="5" max="5"/>
    <col width="9" customWidth="1" min="6" max="6"/>
    <col width="9" customWidth="1" min="7" max="7"/>
    <col width="11" customWidth="1" min="8" max="8"/>
    <col width="9" customWidth="1" min="9" max="9"/>
    <col width="11" customWidth="1" min="10" max="10"/>
    <col width="9" customWidth="1" min="11" max="11"/>
    <col width="11" customWidth="1" min="12" max="12"/>
    <col width="9" customWidth="1" min="13" max="13"/>
    <col width="11" customWidth="1" min="14" max="14"/>
    <col width="9" customWidth="1" min="15" max="15"/>
    <col width="11" customWidth="1" min="16" max="16"/>
    <col width="9" customWidth="1" min="17" max="17"/>
    <col width="11" customWidth="1" min="18" max="18"/>
    <col width="9" customWidth="1" min="19" max="19"/>
    <col width="11" customWidth="1" min="20" max="20"/>
    <col width="9" customWidth="1" min="21" max="21"/>
    <col width="11" customWidth="1" min="22" max="22"/>
    <col width="9" customWidth="1" min="23" max="23"/>
    <col width="11" customWidth="1" min="24" max="24"/>
    <col width="9" customWidth="1" min="25" max="25"/>
  </cols>
  <sheetData>
    <row r="1">
      <c r="A1" s="5" t="inlineStr">
        <is>
          <t>Model</t>
        </is>
      </c>
      <c r="B1" s="5" t="inlineStr">
        <is>
          <t>Architecture</t>
        </is>
      </c>
      <c r="C1" s="5" t="inlineStr">
        <is>
          <t>Tissue Crop</t>
        </is>
      </c>
      <c r="D1" s="5" t="inlineStr">
        <is>
          <t>Learning Rate</t>
        </is>
      </c>
      <c r="E1" s="5" t="inlineStr">
        <is>
          <t>Weight Decay</t>
        </is>
      </c>
      <c r="F1" s="5" t="inlineStr">
        <is>
          <t>Dropout</t>
        </is>
      </c>
      <c r="G1" s="5" t="inlineStr">
        <is>
          <t>Folds (n)</t>
        </is>
      </c>
      <c r="H1" s="5" t="inlineStr">
        <is>
          <t>Test F1</t>
        </is>
      </c>
      <c r="I1" s="5" t="n"/>
      <c r="J1" s="5" t="inlineStr">
        <is>
          <t>Test Accuracy</t>
        </is>
      </c>
      <c r="K1" s="5" t="n"/>
      <c r="L1" s="5" t="inlineStr">
        <is>
          <t>Test AUC</t>
        </is>
      </c>
      <c r="M1" s="5" t="n"/>
      <c r="N1" s="5" t="inlineStr">
        <is>
          <t>India F1</t>
        </is>
      </c>
      <c r="O1" s="5" t="n"/>
      <c r="P1" s="5" t="inlineStr">
        <is>
          <t>India Accuracy</t>
        </is>
      </c>
      <c r="Q1" s="5" t="n"/>
      <c r="R1" s="5" t="inlineStr">
        <is>
          <t>India AUC</t>
        </is>
      </c>
      <c r="S1" s="5" t="n"/>
      <c r="T1" s="5" t="inlineStr">
        <is>
          <t>Italy F1</t>
        </is>
      </c>
      <c r="U1" s="5" t="n"/>
      <c r="V1" s="5" t="inlineStr">
        <is>
          <t>Italy Accuracy</t>
        </is>
      </c>
      <c r="W1" s="5" t="n"/>
      <c r="X1" s="5" t="inlineStr">
        <is>
          <t>Italy AUC</t>
        </is>
      </c>
      <c r="Y1" s="5" t="n"/>
    </row>
    <row r="2">
      <c r="A2" s="9" t="n"/>
      <c r="B2" s="9" t="n"/>
      <c r="C2" s="9" t="n"/>
      <c r="D2" s="9" t="n"/>
      <c r="E2" s="9" t="n"/>
      <c r="F2" s="9" t="n"/>
      <c r="G2" s="9" t="n"/>
      <c r="H2" s="9" t="inlineStr">
        <is>
          <t>Mean</t>
        </is>
      </c>
      <c r="I2" s="9" t="inlineStr">
        <is>
          <t>Std</t>
        </is>
      </c>
      <c r="J2" s="9" t="inlineStr">
        <is>
          <t>Mean</t>
        </is>
      </c>
      <c r="K2" s="9" t="inlineStr">
        <is>
          <t>Std</t>
        </is>
      </c>
      <c r="L2" s="9" t="inlineStr">
        <is>
          <t>Mean</t>
        </is>
      </c>
      <c r="M2" s="9" t="inlineStr">
        <is>
          <t>Std</t>
        </is>
      </c>
      <c r="N2" s="9" t="inlineStr">
        <is>
          <t>Mean</t>
        </is>
      </c>
      <c r="O2" s="9" t="inlineStr">
        <is>
          <t>Std</t>
        </is>
      </c>
      <c r="P2" s="9" t="inlineStr">
        <is>
          <t>Mean</t>
        </is>
      </c>
      <c r="Q2" s="9" t="inlineStr">
        <is>
          <t>Std</t>
        </is>
      </c>
      <c r="R2" s="9" t="inlineStr">
        <is>
          <t>Mean</t>
        </is>
      </c>
      <c r="S2" s="9" t="inlineStr">
        <is>
          <t>Std</t>
        </is>
      </c>
      <c r="T2" s="9" t="inlineStr">
        <is>
          <t>Mean</t>
        </is>
      </c>
      <c r="U2" s="9" t="inlineStr">
        <is>
          <t>Std</t>
        </is>
      </c>
      <c r="V2" s="9" t="inlineStr">
        <is>
          <t>Mean</t>
        </is>
      </c>
      <c r="W2" s="9" t="inlineStr">
        <is>
          <t>Std</t>
        </is>
      </c>
      <c r="X2" s="9" t="inlineStr">
        <is>
          <t>Mean</t>
        </is>
      </c>
      <c r="Y2" s="9" t="inlineStr">
        <is>
          <t>Std</t>
        </is>
      </c>
    </row>
    <row r="3">
      <c r="A3" s="6" t="inlineStr">
        <is>
          <t>CoAtNet-3</t>
        </is>
      </c>
      <c r="B3" s="7" t="inlineStr">
        <is>
          <t>coatnet_3</t>
        </is>
      </c>
      <c r="C3" s="7" t="inlineStr">
        <is>
          <t>palpebral</t>
        </is>
      </c>
      <c r="D3" s="10" t="n">
        <v>0.001124943613008529</v>
      </c>
      <c r="E3" s="10" t="n">
        <v>0.0001185673711203719</v>
      </c>
      <c r="F3" s="11" t="n">
        <v>0.2</v>
      </c>
      <c r="G3" s="7">
        <f>COUNTA('Per-Fold Detail'!D2:D4)</f>
        <v/>
      </c>
      <c r="H3" s="8">
        <f>AVERAGE('Per-Fold Detail'!I2:I4)</f>
        <v/>
      </c>
      <c r="I3" s="8">
        <f>STDEV('Per-Fold Detail'!I2:I4)</f>
        <v/>
      </c>
      <c r="J3" s="8">
        <f>AVERAGE('Per-Fold Detail'!J2:J4)</f>
        <v/>
      </c>
      <c r="K3" s="8">
        <f>STDEV('Per-Fold Detail'!J2:J4)</f>
        <v/>
      </c>
      <c r="L3" s="8">
        <f>AVERAGE('Per-Fold Detail'!K2:K4)</f>
        <v/>
      </c>
      <c r="M3" s="8">
        <f>STDEV('Per-Fold Detail'!K2:K4)</f>
        <v/>
      </c>
      <c r="N3" s="8">
        <f>AVERAGE('Per-Fold Detail'!L2:L4)</f>
        <v/>
      </c>
      <c r="O3" s="8">
        <f>STDEV('Per-Fold Detail'!L2:L4)</f>
        <v/>
      </c>
      <c r="P3" s="8">
        <f>AVERAGE('Per-Fold Detail'!M2:M4)</f>
        <v/>
      </c>
      <c r="Q3" s="8">
        <f>STDEV('Per-Fold Detail'!M2:M4)</f>
        <v/>
      </c>
      <c r="R3" s="8">
        <f>AVERAGE('Per-Fold Detail'!N2:N4)</f>
        <v/>
      </c>
      <c r="S3" s="8">
        <f>STDEV('Per-Fold Detail'!N2:N4)</f>
        <v/>
      </c>
      <c r="T3" s="8">
        <f>AVERAGE('Per-Fold Detail'!O2:O4)</f>
        <v/>
      </c>
      <c r="U3" s="8">
        <f>STDEV('Per-Fold Detail'!O2:O4)</f>
        <v/>
      </c>
      <c r="V3" s="8">
        <f>AVERAGE('Per-Fold Detail'!P2:P4)</f>
        <v/>
      </c>
      <c r="W3" s="8">
        <f>STDEV('Per-Fold Detail'!P2:P4)</f>
        <v/>
      </c>
      <c r="X3" s="8">
        <f>AVERAGE('Per-Fold Detail'!Q2:Q4)</f>
        <v/>
      </c>
      <c r="Y3" s="8">
        <f>STDEV('Per-Fold Detail'!Q2:Q4)</f>
        <v/>
      </c>
    </row>
    <row r="4">
      <c r="A4" s="6" t="inlineStr">
        <is>
          <t>ConvNeXt-Base</t>
        </is>
      </c>
      <c r="B4" s="7" t="inlineStr">
        <is>
          <t>convnext_base</t>
        </is>
      </c>
      <c r="C4" s="7" t="inlineStr">
        <is>
          <t>palpebral</t>
        </is>
      </c>
      <c r="D4" s="10" t="n">
        <v>0.0001235308191492332</v>
      </c>
      <c r="E4" s="10" t="n">
        <v>1.042297146664846e-06</v>
      </c>
      <c r="F4" s="11" t="n">
        <v>0.5</v>
      </c>
      <c r="G4" s="7">
        <f>COUNTA('Per-Fold Detail'!D5:D7)</f>
        <v/>
      </c>
      <c r="H4" s="8">
        <f>AVERAGE('Per-Fold Detail'!I5:I7)</f>
        <v/>
      </c>
      <c r="I4" s="8">
        <f>STDEV('Per-Fold Detail'!I5:I7)</f>
        <v/>
      </c>
      <c r="J4" s="8">
        <f>AVERAGE('Per-Fold Detail'!J5:J7)</f>
        <v/>
      </c>
      <c r="K4" s="8">
        <f>STDEV('Per-Fold Detail'!J5:J7)</f>
        <v/>
      </c>
      <c r="L4" s="8">
        <f>AVERAGE('Per-Fold Detail'!K5:K7)</f>
        <v/>
      </c>
      <c r="M4" s="8">
        <f>STDEV('Per-Fold Detail'!K5:K7)</f>
        <v/>
      </c>
      <c r="N4" s="8">
        <f>AVERAGE('Per-Fold Detail'!L5:L7)</f>
        <v/>
      </c>
      <c r="O4" s="8">
        <f>STDEV('Per-Fold Detail'!L5:L7)</f>
        <v/>
      </c>
      <c r="P4" s="8">
        <f>AVERAGE('Per-Fold Detail'!M5:M7)</f>
        <v/>
      </c>
      <c r="Q4" s="8">
        <f>STDEV('Per-Fold Detail'!M5:M7)</f>
        <v/>
      </c>
      <c r="R4" s="8">
        <f>AVERAGE('Per-Fold Detail'!N5:N7)</f>
        <v/>
      </c>
      <c r="S4" s="8">
        <f>STDEV('Per-Fold Detail'!N5:N7)</f>
        <v/>
      </c>
      <c r="T4" s="8">
        <f>AVERAGE('Per-Fold Detail'!O5:O7)</f>
        <v/>
      </c>
      <c r="U4" s="8">
        <f>STDEV('Per-Fold Detail'!O5:O7)</f>
        <v/>
      </c>
      <c r="V4" s="8">
        <f>AVERAGE('Per-Fold Detail'!P5:P7)</f>
        <v/>
      </c>
      <c r="W4" s="8">
        <f>STDEV('Per-Fold Detail'!P5:P7)</f>
        <v/>
      </c>
      <c r="X4" s="8">
        <f>AVERAGE('Per-Fold Detail'!Q5:Q7)</f>
        <v/>
      </c>
      <c r="Y4" s="8">
        <f>STDEV('Per-Fold Detail'!Q5:Q7)</f>
        <v/>
      </c>
    </row>
    <row r="5">
      <c r="A5" s="6" t="inlineStr">
        <is>
          <t>ConvNeXt-Large</t>
        </is>
      </c>
      <c r="B5" s="7" t="inlineStr">
        <is>
          <t>convnext_large</t>
        </is>
      </c>
      <c r="C5" s="7" t="inlineStr">
        <is>
          <t>palpebral</t>
        </is>
      </c>
      <c r="D5" s="10" t="n">
        <v>0.0001113741490829351</v>
      </c>
      <c r="E5" s="10" t="n">
        <v>2.205928214697931e-05</v>
      </c>
      <c r="F5" s="11" t="n">
        <v>0.2</v>
      </c>
      <c r="G5" s="7">
        <f>COUNTA('Per-Fold Detail'!D8:D10)</f>
        <v/>
      </c>
      <c r="H5" s="8">
        <f>AVERAGE('Per-Fold Detail'!I8:I10)</f>
        <v/>
      </c>
      <c r="I5" s="8">
        <f>STDEV('Per-Fold Detail'!I8:I10)</f>
        <v/>
      </c>
      <c r="J5" s="8">
        <f>AVERAGE('Per-Fold Detail'!J8:J10)</f>
        <v/>
      </c>
      <c r="K5" s="8">
        <f>STDEV('Per-Fold Detail'!J8:J10)</f>
        <v/>
      </c>
      <c r="L5" s="8">
        <f>AVERAGE('Per-Fold Detail'!K8:K10)</f>
        <v/>
      </c>
      <c r="M5" s="8">
        <f>STDEV('Per-Fold Detail'!K8:K10)</f>
        <v/>
      </c>
      <c r="N5" s="8">
        <f>AVERAGE('Per-Fold Detail'!L8:L10)</f>
        <v/>
      </c>
      <c r="O5" s="8">
        <f>STDEV('Per-Fold Detail'!L8:L10)</f>
        <v/>
      </c>
      <c r="P5" s="8">
        <f>AVERAGE('Per-Fold Detail'!M8:M10)</f>
        <v/>
      </c>
      <c r="Q5" s="8">
        <f>STDEV('Per-Fold Detail'!M8:M10)</f>
        <v/>
      </c>
      <c r="R5" s="8">
        <f>AVERAGE('Per-Fold Detail'!N8:N10)</f>
        <v/>
      </c>
      <c r="S5" s="8">
        <f>STDEV('Per-Fold Detail'!N8:N10)</f>
        <v/>
      </c>
      <c r="T5" s="8">
        <f>AVERAGE('Per-Fold Detail'!O8:O10)</f>
        <v/>
      </c>
      <c r="U5" s="8">
        <f>STDEV('Per-Fold Detail'!O8:O10)</f>
        <v/>
      </c>
      <c r="V5" s="8">
        <f>AVERAGE('Per-Fold Detail'!P8:P10)</f>
        <v/>
      </c>
      <c r="W5" s="8">
        <f>STDEV('Per-Fold Detail'!P8:P10)</f>
        <v/>
      </c>
      <c r="X5" s="8">
        <f>AVERAGE('Per-Fold Detail'!Q8:Q10)</f>
        <v/>
      </c>
      <c r="Y5" s="8">
        <f>STDEV('Per-Fold Detail'!Q8:Q10)</f>
        <v/>
      </c>
    </row>
    <row r="6">
      <c r="A6" s="6" t="inlineStr">
        <is>
          <t>EfficientNet-B3</t>
        </is>
      </c>
      <c r="B6" s="7" t="inlineStr">
        <is>
          <t>efficientnet_b3</t>
        </is>
      </c>
      <c r="C6" s="7" t="inlineStr">
        <is>
          <t>forniceal_palpebral</t>
        </is>
      </c>
      <c r="D6" s="10" t="n">
        <v>0.006358358856676255</v>
      </c>
      <c r="E6" s="10" t="n">
        <v>0.000133112160807369</v>
      </c>
      <c r="F6" s="11" t="n">
        <v>0.5</v>
      </c>
      <c r="G6" s="7">
        <f>COUNTA('Per-Fold Detail'!D11:D13)</f>
        <v/>
      </c>
      <c r="H6" s="8">
        <f>AVERAGE('Per-Fold Detail'!I11:I13)</f>
        <v/>
      </c>
      <c r="I6" s="8">
        <f>STDEV('Per-Fold Detail'!I11:I13)</f>
        <v/>
      </c>
      <c r="J6" s="8">
        <f>AVERAGE('Per-Fold Detail'!J11:J13)</f>
        <v/>
      </c>
      <c r="K6" s="8">
        <f>STDEV('Per-Fold Detail'!J11:J13)</f>
        <v/>
      </c>
      <c r="L6" s="8">
        <f>AVERAGE('Per-Fold Detail'!K11:K13)</f>
        <v/>
      </c>
      <c r="M6" s="8">
        <f>STDEV('Per-Fold Detail'!K11:K13)</f>
        <v/>
      </c>
      <c r="N6" s="8">
        <f>AVERAGE('Per-Fold Detail'!L11:L13)</f>
        <v/>
      </c>
      <c r="O6" s="8">
        <f>STDEV('Per-Fold Detail'!L11:L13)</f>
        <v/>
      </c>
      <c r="P6" s="8">
        <f>AVERAGE('Per-Fold Detail'!M11:M13)</f>
        <v/>
      </c>
      <c r="Q6" s="8">
        <f>STDEV('Per-Fold Detail'!M11:M13)</f>
        <v/>
      </c>
      <c r="R6" s="8">
        <f>AVERAGE('Per-Fold Detail'!N11:N13)</f>
        <v/>
      </c>
      <c r="S6" s="8">
        <f>STDEV('Per-Fold Detail'!N11:N13)</f>
        <v/>
      </c>
      <c r="T6" s="8">
        <f>AVERAGE('Per-Fold Detail'!O11:O13)</f>
        <v/>
      </c>
      <c r="U6" s="8">
        <f>STDEV('Per-Fold Detail'!O11:O13)</f>
        <v/>
      </c>
      <c r="V6" s="8">
        <f>AVERAGE('Per-Fold Detail'!P11:P13)</f>
        <v/>
      </c>
      <c r="W6" s="8">
        <f>STDEV('Per-Fold Detail'!P11:P13)</f>
        <v/>
      </c>
      <c r="X6" s="8">
        <f>AVERAGE('Per-Fold Detail'!Q11:Q13)</f>
        <v/>
      </c>
      <c r="Y6" s="8">
        <f>STDEV('Per-Fold Detail'!Q11:Q13)</f>
        <v/>
      </c>
    </row>
    <row r="7">
      <c r="A7" s="6" t="inlineStr">
        <is>
          <t>MaxViT-T</t>
        </is>
      </c>
      <c r="B7" s="7" t="inlineStr">
        <is>
          <t>maxvit_t</t>
        </is>
      </c>
      <c r="C7" s="7" t="inlineStr">
        <is>
          <t>palpebral</t>
        </is>
      </c>
      <c r="D7" s="10" t="n">
        <v>0.0008179499475211679</v>
      </c>
      <c r="E7" s="10" t="n">
        <v>3.752055855124284e-05</v>
      </c>
      <c r="F7" s="11" t="n">
        <v>0.2</v>
      </c>
      <c r="G7" s="7">
        <f>COUNTA('Per-Fold Detail'!D14:D16)</f>
        <v/>
      </c>
      <c r="H7" s="8">
        <f>AVERAGE('Per-Fold Detail'!I14:I16)</f>
        <v/>
      </c>
      <c r="I7" s="8">
        <f>STDEV('Per-Fold Detail'!I14:I16)</f>
        <v/>
      </c>
      <c r="J7" s="8">
        <f>AVERAGE('Per-Fold Detail'!J14:J16)</f>
        <v/>
      </c>
      <c r="K7" s="8">
        <f>STDEV('Per-Fold Detail'!J14:J16)</f>
        <v/>
      </c>
      <c r="L7" s="8">
        <f>AVERAGE('Per-Fold Detail'!K14:K16)</f>
        <v/>
      </c>
      <c r="M7" s="8">
        <f>STDEV('Per-Fold Detail'!K14:K16)</f>
        <v/>
      </c>
      <c r="N7" s="8">
        <f>AVERAGE('Per-Fold Detail'!L14:L16)</f>
        <v/>
      </c>
      <c r="O7" s="8">
        <f>STDEV('Per-Fold Detail'!L14:L16)</f>
        <v/>
      </c>
      <c r="P7" s="8">
        <f>AVERAGE('Per-Fold Detail'!M14:M16)</f>
        <v/>
      </c>
      <c r="Q7" s="8">
        <f>STDEV('Per-Fold Detail'!M14:M16)</f>
        <v/>
      </c>
      <c r="R7" s="8">
        <f>AVERAGE('Per-Fold Detail'!N14:N16)</f>
        <v/>
      </c>
      <c r="S7" s="8">
        <f>STDEV('Per-Fold Detail'!N14:N16)</f>
        <v/>
      </c>
      <c r="T7" s="8">
        <f>AVERAGE('Per-Fold Detail'!O14:O16)</f>
        <v/>
      </c>
      <c r="U7" s="8">
        <f>STDEV('Per-Fold Detail'!O14:O16)</f>
        <v/>
      </c>
      <c r="V7" s="8">
        <f>AVERAGE('Per-Fold Detail'!P14:P16)</f>
        <v/>
      </c>
      <c r="W7" s="8">
        <f>STDEV('Per-Fold Detail'!P14:P16)</f>
        <v/>
      </c>
      <c r="X7" s="8">
        <f>AVERAGE('Per-Fold Detail'!Q14:Q16)</f>
        <v/>
      </c>
      <c r="Y7" s="8">
        <f>STDEV('Per-Fold Detail'!Q14:Q16)</f>
        <v/>
      </c>
    </row>
    <row r="8">
      <c r="A8" s="6" t="inlineStr">
        <is>
          <t>RegNet-Y-16GF</t>
        </is>
      </c>
      <c r="B8" s="7" t="inlineStr">
        <is>
          <t>regnet_y_16gf</t>
        </is>
      </c>
      <c r="C8" s="7" t="inlineStr">
        <is>
          <t>palpebral</t>
        </is>
      </c>
      <c r="D8" s="10" t="n">
        <v>0.006464900601177843</v>
      </c>
      <c r="E8" s="10" t="n">
        <v>1.217404417807552e-06</v>
      </c>
      <c r="F8" s="11" t="n">
        <v>0.2</v>
      </c>
      <c r="G8" s="7">
        <f>COUNTA('Per-Fold Detail'!D17:D19)</f>
        <v/>
      </c>
      <c r="H8" s="8">
        <f>AVERAGE('Per-Fold Detail'!I17:I19)</f>
        <v/>
      </c>
      <c r="I8" s="8">
        <f>STDEV('Per-Fold Detail'!I17:I19)</f>
        <v/>
      </c>
      <c r="J8" s="8">
        <f>AVERAGE('Per-Fold Detail'!J17:J19)</f>
        <v/>
      </c>
      <c r="K8" s="8">
        <f>STDEV('Per-Fold Detail'!J17:J19)</f>
        <v/>
      </c>
      <c r="L8" s="8">
        <f>AVERAGE('Per-Fold Detail'!K17:K19)</f>
        <v/>
      </c>
      <c r="M8" s="8">
        <f>STDEV('Per-Fold Detail'!K17:K19)</f>
        <v/>
      </c>
      <c r="N8" s="8">
        <f>AVERAGE('Per-Fold Detail'!L17:L19)</f>
        <v/>
      </c>
      <c r="O8" s="8">
        <f>STDEV('Per-Fold Detail'!L17:L19)</f>
        <v/>
      </c>
      <c r="P8" s="8">
        <f>AVERAGE('Per-Fold Detail'!M17:M19)</f>
        <v/>
      </c>
      <c r="Q8" s="8">
        <f>STDEV('Per-Fold Detail'!M17:M19)</f>
        <v/>
      </c>
      <c r="R8" s="8">
        <f>AVERAGE('Per-Fold Detail'!N17:N19)</f>
        <v/>
      </c>
      <c r="S8" s="8">
        <f>STDEV('Per-Fold Detail'!N17:N19)</f>
        <v/>
      </c>
      <c r="T8" s="8">
        <f>AVERAGE('Per-Fold Detail'!O17:O19)</f>
        <v/>
      </c>
      <c r="U8" s="8">
        <f>STDEV('Per-Fold Detail'!O17:O19)</f>
        <v/>
      </c>
      <c r="V8" s="8">
        <f>AVERAGE('Per-Fold Detail'!P17:P19)</f>
        <v/>
      </c>
      <c r="W8" s="8">
        <f>STDEV('Per-Fold Detail'!P17:P19)</f>
        <v/>
      </c>
      <c r="X8" s="8">
        <f>AVERAGE('Per-Fold Detail'!Q17:Q19)</f>
        <v/>
      </c>
      <c r="Y8" s="8">
        <f>STDEV('Per-Fold Detail'!Q17:Q19)</f>
        <v/>
      </c>
    </row>
    <row r="10">
      <c r="A10" s="2" t="inlineStr">
        <is>
          <t>Mean/Std computed live via AVERAGE()/STDEV() formulas over each model's 3 fold-level rows on 'Per-Fold Detail'. Std = sample std (n-1).</t>
        </is>
      </c>
    </row>
  </sheetData>
  <mergeCells count="17">
    <mergeCell ref="A10:Y10"/>
    <mergeCell ref="X1:Y1"/>
    <mergeCell ref="V1:W1"/>
    <mergeCell ref="T1:U1"/>
    <mergeCell ref="H1:I1"/>
    <mergeCell ref="L1:M1"/>
    <mergeCell ref="J1:K1"/>
    <mergeCell ref="P1:Q1"/>
    <mergeCell ref="C1:C2"/>
    <mergeCell ref="B1:B2"/>
    <mergeCell ref="D1:D2"/>
    <mergeCell ref="E1:E2"/>
    <mergeCell ref="F1:F2"/>
    <mergeCell ref="G1:G2"/>
    <mergeCell ref="N1:O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2026-08-12T20:01:33Z</dcterms:created>
  <dcterms:modified xsi:type="dcterms:W3CDTF">2026-08-12T20:01:33Z</dcterms:modified>
</cp:coreProperties>
</file>