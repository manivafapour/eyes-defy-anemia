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Leaderboard" sheetId="1" state="visible" r:id="rId1"/>
    <sheet xmlns:r="http://schemas.openxmlformats.org/officeDocument/2006/relationships" name="Fold-Averaged Metrics" sheetId="2" state="visible" r:id="rId2"/>
    <sheet xmlns:r="http://schemas.openxmlformats.org/officeDocument/2006/relationships" name="Gate Summary" sheetId="3" state="visible" r:id="rId3"/>
    <sheet xmlns:r="http://schemas.openxmlformats.org/officeDocument/2006/relationships" name="Methodology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0" fontId="4" fillId="3" borderId="1" pivotButton="0" quotePrefix="0" xfId="0"/>
    <xf numFmtId="0" fontId="4" fillId="4" borderId="1" pivotButton="0" quotePrefix="0" xfId="0"/>
    <xf numFmtId="164" fontId="4" fillId="3" borderId="1" pivotButton="0" quotePrefix="0" xfId="0"/>
    <xf numFmtId="0" fontId="4" fillId="5" borderId="1" pivotButton="0" quotePrefix="0" xfId="0"/>
    <xf numFmtId="0" fontId="4" fillId="6" borderId="1" pivotButton="0" quotePrefix="0" xfId="0"/>
    <xf numFmtId="10" fontId="4" fillId="6" borderId="1" pivotButton="0" quotePrefix="0" xfId="0"/>
    <xf numFmtId="164" fontId="4" fillId="6" borderId="1" pivotButton="0" quotePrefix="0" xfId="0"/>
    <xf numFmtId="0" fontId="4" fillId="0" borderId="1" pivotButton="0" quotePrefix="0" xfId="0"/>
    <xf numFmtId="10" fontId="4" fillId="0" borderId="1" pivotButton="0" quotePrefix="0" xfId="0"/>
    <xf numFmtId="164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10" fontId="5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Step 1 — Full Leaderboard, All 18 Combos, Ranked Best → Worst by Pooled Overall AUC</t>
        </is>
      </c>
    </row>
    <row r="2">
      <c r="A2" s="2" t="inlineStr">
        <is>
          <t>Pooled AUC figures are the harness's bootstrapped, out-of-fold statistic (1,311 India pairs / up to 1,680 Italy pairs per combo) -- the rigorous, defensible number in this workbook. Classification metrics (accuracy through F1) are on the 'Fold-Averaged Metrics' tab -- a simple mean across each combo's 25 folds, not pooled/bootstrapped.</t>
        </is>
      </c>
    </row>
    <row r="4" ht="44" customHeight="1">
      <c r="A4" s="3" t="inlineStr">
        <is>
          <t>Rank</t>
        </is>
      </c>
      <c r="B4" s="3" t="inlineStr">
        <is>
          <t>Model</t>
        </is>
      </c>
      <c r="C4" s="3" t="inlineStr">
        <is>
          <t>Architecture</t>
        </is>
      </c>
      <c r="D4" s="3" t="inlineStr">
        <is>
          <t>Tissue Type</t>
        </is>
      </c>
      <c r="E4" s="3" t="inlineStr">
        <is>
          <t>Overall AUC
(pooled)</t>
        </is>
      </c>
      <c r="F4" s="3" t="inlineStr">
        <is>
          <t>Overall
CI Low</t>
        </is>
      </c>
      <c r="G4" s="3" t="inlineStr">
        <is>
          <t>Overall
CI High</t>
        </is>
      </c>
      <c r="H4" s="3" t="inlineStr">
        <is>
          <t>India AUC
(pooled)</t>
        </is>
      </c>
      <c r="I4" s="3" t="inlineStr">
        <is>
          <t>India
CI Low</t>
        </is>
      </c>
      <c r="J4" s="3" t="inlineStr">
        <is>
          <t>India
CI High</t>
        </is>
      </c>
      <c r="K4" s="3" t="inlineStr">
        <is>
          <t>India CI
Half-Width</t>
        </is>
      </c>
      <c r="L4" s="3" t="inlineStr">
        <is>
          <t>India SD
Across Repeats</t>
        </is>
      </c>
      <c r="M4" s="3" t="inlineStr">
        <is>
          <t>Italy AUC
(pooled)</t>
        </is>
      </c>
      <c r="N4" s="3" t="inlineStr">
        <is>
          <t>Italy
CI Low</t>
        </is>
      </c>
      <c r="O4" s="3" t="inlineStr">
        <is>
          <t>Italy
CI High</t>
        </is>
      </c>
      <c r="P4" s="3" t="inlineStr">
        <is>
          <t>Gap
(India−Italy)</t>
        </is>
      </c>
      <c r="Q4" s="3" t="inlineStr">
        <is>
          <t>Gap
CI Low</t>
        </is>
      </c>
      <c r="R4" s="3" t="inlineStr">
        <is>
          <t>Gap
CI High</t>
        </is>
      </c>
      <c r="S4" s="3" t="inlineStr">
        <is>
          <t>Gap
Significant?</t>
        </is>
      </c>
      <c r="T4" s="3" t="inlineStr">
        <is>
          <t>Learning
Rate</t>
        </is>
      </c>
      <c r="U4" s="3" t="inlineStr">
        <is>
          <t>Weight
Decay</t>
        </is>
      </c>
      <c r="V4" s="3" t="inlineStr">
        <is>
          <t>Dropout
Rate</t>
        </is>
      </c>
    </row>
    <row r="5">
      <c r="A5" s="4" t="n">
        <v>1</v>
      </c>
      <c r="B5" s="4" t="inlineStr">
        <is>
          <t>ViT-B/16 / palpebral</t>
        </is>
      </c>
      <c r="C5" s="4" t="inlineStr">
        <is>
          <t>ViT-B/16</t>
        </is>
      </c>
      <c r="D5" s="4" t="inlineStr">
        <is>
          <t>palpebral</t>
        </is>
      </c>
      <c r="E5" s="5" t="n">
        <v>0.874062386211919</v>
      </c>
      <c r="F5" s="5" t="n">
        <v>0.8209734191042602</v>
      </c>
      <c r="G5" s="5" t="n">
        <v>0.9175901201602137</v>
      </c>
      <c r="H5" s="5" t="n">
        <v>0.7398932112890924</v>
      </c>
      <c r="I5" s="5" t="n">
        <v>0.604862700228833</v>
      </c>
      <c r="J5" s="5" t="n">
        <v>0.8550915331807779</v>
      </c>
      <c r="K5" s="5" t="n">
        <v>0.1251144164759724</v>
      </c>
      <c r="L5" s="5" t="n">
        <v>0.01888545904369174</v>
      </c>
      <c r="M5" s="5" t="n">
        <v>0.8460714285714286</v>
      </c>
      <c r="N5" s="5" t="n">
        <v>0.7220089285714285</v>
      </c>
      <c r="O5" s="5" t="n">
        <v>0.9411011904761905</v>
      </c>
      <c r="P5" s="5" t="n">
        <v>-0.1061782172823363</v>
      </c>
      <c r="Q5" s="5" t="n">
        <v>-0.2816778018415604</v>
      </c>
      <c r="R5" s="5" t="n">
        <v>0.06936083415059398</v>
      </c>
      <c r="S5" s="6" t="inlineStr">
        <is>
          <t>No</t>
        </is>
      </c>
      <c r="T5" s="7" t="n">
        <v>0.0002938027938703536</v>
      </c>
      <c r="U5" s="7" t="n">
        <v>2.937538457632831e-06</v>
      </c>
      <c r="V5" s="4" t="n">
        <v>0.5</v>
      </c>
    </row>
    <row r="6">
      <c r="A6" s="4" t="n">
        <v>2</v>
      </c>
      <c r="B6" s="4" t="inlineStr">
        <is>
          <t>EfficientNet-B0 / forniceal_palpebral</t>
        </is>
      </c>
      <c r="C6" s="4" t="inlineStr">
        <is>
          <t>EfficientNet-B0</t>
        </is>
      </c>
      <c r="D6" s="4" t="inlineStr">
        <is>
          <t>forniceal_palpebral</t>
        </is>
      </c>
      <c r="E6" s="5" t="n">
        <v>0.8668730650154799</v>
      </c>
      <c r="F6" s="5" t="n">
        <v>0.8188789989680082</v>
      </c>
      <c r="G6" s="5" t="n">
        <v>0.9111197110423116</v>
      </c>
      <c r="H6" s="5" t="n">
        <v>0.6323417238749046</v>
      </c>
      <c r="I6" s="5" t="n">
        <v>0.4736651411136537</v>
      </c>
      <c r="J6" s="5" t="n">
        <v>0.7795575896262394</v>
      </c>
      <c r="K6" s="5" t="n">
        <v>0.1529462242562929</v>
      </c>
      <c r="L6" s="5" t="n">
        <v>0.02845371083690996</v>
      </c>
      <c r="M6" s="5" t="n">
        <v>0.8619586942038641</v>
      </c>
      <c r="N6" s="5" t="n">
        <v>0.7414890073284476</v>
      </c>
      <c r="O6" s="5" t="n">
        <v>0.9573617588274483</v>
      </c>
      <c r="P6" s="5" t="n">
        <v>-0.2296169703289594</v>
      </c>
      <c r="Q6" s="5" t="n">
        <v>-0.4022074655543647</v>
      </c>
      <c r="R6" s="5" t="n">
        <v>-0.05142875763983426</v>
      </c>
      <c r="S6" s="8" t="inlineStr">
        <is>
          <t>Yes</t>
        </is>
      </c>
      <c r="T6" s="7" t="n">
        <v>0.001329291894316217</v>
      </c>
      <c r="U6" s="7" t="n">
        <v>0.0007114476009343421</v>
      </c>
      <c r="V6" s="4" t="n">
        <v>0.2</v>
      </c>
    </row>
    <row r="7">
      <c r="A7" s="4" t="n">
        <v>3</v>
      </c>
      <c r="B7" s="4" t="inlineStr">
        <is>
          <t>RegNetY-400MF / palpebral</t>
        </is>
      </c>
      <c r="C7" s="4" t="inlineStr">
        <is>
          <t>RegNetY-400MF</t>
        </is>
      </c>
      <c r="D7" s="4" t="inlineStr">
        <is>
          <t>palpebral</t>
        </is>
      </c>
      <c r="E7" s="5" t="n">
        <v>0.8656875834445927</v>
      </c>
      <c r="F7" s="5" t="n">
        <v>0.8218108993809928</v>
      </c>
      <c r="G7" s="5" t="n">
        <v>0.9058168467046971</v>
      </c>
      <c r="H7" s="5" t="n">
        <v>0.5748283752860412</v>
      </c>
      <c r="I7" s="5" t="n">
        <v>0.4248665141113654</v>
      </c>
      <c r="J7" s="5" t="n">
        <v>0.7246567505720822</v>
      </c>
      <c r="K7" s="5" t="n">
        <v>0.1498951182303584</v>
      </c>
      <c r="L7" s="5" t="n">
        <v>0.01969677409193517</v>
      </c>
      <c r="M7" s="5" t="n">
        <v>0.9016666666666667</v>
      </c>
      <c r="N7" s="5" t="n">
        <v>0.8005952380952381</v>
      </c>
      <c r="O7" s="5" t="n">
        <v>0.9732291666666667</v>
      </c>
      <c r="P7" s="5" t="n">
        <v>-0.3268382913806254</v>
      </c>
      <c r="Q7" s="5" t="n">
        <v>-0.4943377805927862</v>
      </c>
      <c r="R7" s="5" t="n">
        <v>-0.1503938855290402</v>
      </c>
      <c r="S7" s="8" t="inlineStr">
        <is>
          <t>Yes</t>
        </is>
      </c>
      <c r="T7" s="7" t="n">
        <v>0.001124943613008529</v>
      </c>
      <c r="U7" s="7" t="n">
        <v>0.0001185673711203719</v>
      </c>
      <c r="V7" s="4" t="n">
        <v>0.2</v>
      </c>
    </row>
    <row r="8">
      <c r="A8" s="9" t="n">
        <v>4</v>
      </c>
      <c r="B8" s="9" t="inlineStr">
        <is>
          <t>ViT-L/16 / forniceal_palpebral</t>
        </is>
      </c>
      <c r="C8" s="9" t="inlineStr">
        <is>
          <t>ViT-L/16</t>
        </is>
      </c>
      <c r="D8" s="9" t="inlineStr">
        <is>
          <t>forniceal_palpebral</t>
        </is>
      </c>
      <c r="E8" s="10" t="n">
        <v>0.8611971104231166</v>
      </c>
      <c r="F8" s="10" t="n">
        <v>0.802109133126935</v>
      </c>
      <c r="G8" s="10" t="n">
        <v>0.9118937048503611</v>
      </c>
      <c r="H8" s="10" t="n">
        <v>0.6985507246376812</v>
      </c>
      <c r="I8" s="10" t="n">
        <v>0.5621472158657513</v>
      </c>
      <c r="J8" s="10" t="n">
        <v>0.820747520976354</v>
      </c>
      <c r="K8" s="10" t="n">
        <v>0.1293001525553013</v>
      </c>
      <c r="L8" s="10" t="n">
        <v>0.02939610422967823</v>
      </c>
      <c r="M8" s="10" t="n">
        <v>0.9124583610926049</v>
      </c>
      <c r="N8" s="10" t="n">
        <v>0.8354263824117254</v>
      </c>
      <c r="O8" s="10" t="n">
        <v>0.9700199866755497</v>
      </c>
      <c r="P8" s="10" t="n">
        <v>-0.2139076364549238</v>
      </c>
      <c r="Q8" s="10" t="n">
        <v>-0.3615814094951191</v>
      </c>
      <c r="R8" s="10" t="n">
        <v>-0.06196448744315391</v>
      </c>
      <c r="S8" s="8" t="inlineStr">
        <is>
          <t>Yes</t>
        </is>
      </c>
      <c r="T8" s="11" t="n">
        <v>0.004252633199345978</v>
      </c>
      <c r="U8" s="11" t="n">
        <v>2.009411184641337e-05</v>
      </c>
      <c r="V8" s="9" t="n">
        <v>0.2</v>
      </c>
    </row>
    <row r="9">
      <c r="A9" s="12" t="n">
        <v>5</v>
      </c>
      <c r="B9" s="12" t="inlineStr">
        <is>
          <t>ConvNeXt-Tiny / palpebral</t>
        </is>
      </c>
      <c r="C9" s="12" t="inlineStr">
        <is>
          <t>ConvNeXt-Tiny</t>
        </is>
      </c>
      <c r="D9" s="12" t="inlineStr">
        <is>
          <t>palpebral</t>
        </is>
      </c>
      <c r="E9" s="13" t="n">
        <v>0.8579682000242748</v>
      </c>
      <c r="F9" s="13" t="n">
        <v>0.8003368127199904</v>
      </c>
      <c r="G9" s="13" t="n">
        <v>0.9077648986527491</v>
      </c>
      <c r="H9" s="13" t="n">
        <v>0.7189931350114416</v>
      </c>
      <c r="I9" s="13" t="n">
        <v>0.5835240274599542</v>
      </c>
      <c r="J9" s="13" t="n">
        <v>0.8398169336384439</v>
      </c>
      <c r="K9" s="13" t="n">
        <v>0.1281464530892448</v>
      </c>
      <c r="L9" s="13" t="n">
        <v>0.0223728993964777</v>
      </c>
      <c r="M9" s="13" t="n">
        <v>0.8426190476190476</v>
      </c>
      <c r="N9" s="13" t="n">
        <v>0.7184226190476191</v>
      </c>
      <c r="O9" s="13" t="n">
        <v>0.9369196428571428</v>
      </c>
      <c r="P9" s="13" t="n">
        <v>-0.123625912607606</v>
      </c>
      <c r="Q9" s="13" t="n">
        <v>-0.295738769478043</v>
      </c>
      <c r="R9" s="13" t="n">
        <v>0.05055999373433567</v>
      </c>
      <c r="S9" s="6" t="inlineStr">
        <is>
          <t>No</t>
        </is>
      </c>
      <c r="T9" s="14" t="n">
        <v>0.0005854944023048902</v>
      </c>
      <c r="U9" s="14" t="n">
        <v>2.009411184641337e-05</v>
      </c>
      <c r="V9" s="12" t="n">
        <v>0.2</v>
      </c>
    </row>
    <row r="10">
      <c r="A10" s="9" t="n">
        <v>6</v>
      </c>
      <c r="B10" s="9" t="inlineStr">
        <is>
          <t>ViT-L/16 / palpebral</t>
        </is>
      </c>
      <c r="C10" s="9" t="inlineStr">
        <is>
          <t>ViT-L/16</t>
        </is>
      </c>
      <c r="D10" s="9" t="inlineStr">
        <is>
          <t>palpebral</t>
        </is>
      </c>
      <c r="E10" s="10" t="n">
        <v>0.8538414856171865</v>
      </c>
      <c r="F10" s="10" t="n">
        <v>0.7929299672290326</v>
      </c>
      <c r="G10" s="10" t="n">
        <v>0.9081199174657119</v>
      </c>
      <c r="H10" s="10" t="n">
        <v>0.6831426392067124</v>
      </c>
      <c r="I10" s="10" t="n">
        <v>0.5377002288329519</v>
      </c>
      <c r="J10" s="10" t="n">
        <v>0.8115942028985507</v>
      </c>
      <c r="K10" s="10" t="n">
        <v>0.1369469870327994</v>
      </c>
      <c r="L10" s="10" t="n">
        <v>0.02107390119358805</v>
      </c>
      <c r="M10" s="10" t="n">
        <v>0.8572619047619048</v>
      </c>
      <c r="N10" s="10" t="n">
        <v>0.7297470238095237</v>
      </c>
      <c r="O10" s="10" t="n">
        <v>0.9583482142857143</v>
      </c>
      <c r="P10" s="10" t="n">
        <v>-0.1741192655551923</v>
      </c>
      <c r="Q10" s="10" t="n">
        <v>-0.3548814631687915</v>
      </c>
      <c r="R10" s="10" t="n">
        <v>0.02166618993134999</v>
      </c>
      <c r="S10" s="6" t="inlineStr">
        <is>
          <t>No</t>
        </is>
      </c>
      <c r="T10" s="11" t="n">
        <v>0.006358358856676255</v>
      </c>
      <c r="U10" s="11" t="n">
        <v>0.000133112160807369</v>
      </c>
      <c r="V10" s="9" t="n">
        <v>0.5</v>
      </c>
    </row>
    <row r="11">
      <c r="A11" s="12" t="n">
        <v>7</v>
      </c>
      <c r="B11" s="12" t="inlineStr">
        <is>
          <t>RegNetY-400MF / forniceal_palpebral</t>
        </is>
      </c>
      <c r="C11" s="12" t="inlineStr">
        <is>
          <t>RegNetY-400MF</t>
        </is>
      </c>
      <c r="D11" s="12" t="inlineStr">
        <is>
          <t>forniceal_palpebral</t>
        </is>
      </c>
      <c r="E11" s="13" t="n">
        <v>0.8444014447884417</v>
      </c>
      <c r="F11" s="13" t="n">
        <v>0.8018511351909184</v>
      </c>
      <c r="G11" s="13" t="n">
        <v>0.8822336171310629</v>
      </c>
      <c r="H11" s="13" t="n">
        <v>0.4900076277650648</v>
      </c>
      <c r="I11" s="13" t="n">
        <v>0.3287566742944318</v>
      </c>
      <c r="J11" s="13" t="n">
        <v>0.643039664378337</v>
      </c>
      <c r="K11" s="13" t="n">
        <v>0.1571414950419526</v>
      </c>
      <c r="L11" s="13" t="n">
        <v>0.04662492844046325</v>
      </c>
      <c r="M11" s="13" t="n">
        <v>0.9197868087941373</v>
      </c>
      <c r="N11" s="13" t="n">
        <v>0.8474183877415056</v>
      </c>
      <c r="O11" s="13" t="n">
        <v>0.9700366422385076</v>
      </c>
      <c r="P11" s="13" t="n">
        <v>-0.4297791810290724</v>
      </c>
      <c r="Q11" s="13" t="n">
        <v>-0.6035696009423668</v>
      </c>
      <c r="R11" s="13" t="n">
        <v>-0.2461214262955133</v>
      </c>
      <c r="S11" s="8" t="inlineStr">
        <is>
          <t>Yes</t>
        </is>
      </c>
      <c r="T11" s="14" t="n">
        <v>0.001329291894316217</v>
      </c>
      <c r="U11" s="14" t="n">
        <v>0.0007114476009343421</v>
      </c>
      <c r="V11" s="12" t="n">
        <v>0.2</v>
      </c>
    </row>
    <row r="12">
      <c r="A12" s="9" t="n">
        <v>8</v>
      </c>
      <c r="B12" s="9" t="inlineStr">
        <is>
          <t>ViT-B/16 / forniceal_palpebral</t>
        </is>
      </c>
      <c r="C12" s="9" t="inlineStr">
        <is>
          <t>ViT-B/16</t>
        </is>
      </c>
      <c r="D12" s="9" t="inlineStr">
        <is>
          <t>forniceal_palpebral</t>
        </is>
      </c>
      <c r="E12" s="10" t="n">
        <v>0.8407120743034057</v>
      </c>
      <c r="F12" s="10" t="n">
        <v>0.7781217750257998</v>
      </c>
      <c r="G12" s="10" t="n">
        <v>0.8979650412796697</v>
      </c>
      <c r="H12" s="10" t="n">
        <v>0.6802440884820747</v>
      </c>
      <c r="I12" s="10" t="n">
        <v>0.5286041189931351</v>
      </c>
      <c r="J12" s="10" t="n">
        <v>0.8093058733791</v>
      </c>
      <c r="K12" s="10" t="n">
        <v>0.1403508771929824</v>
      </c>
      <c r="L12" s="10" t="n">
        <v>0.01982778804653798</v>
      </c>
      <c r="M12" s="10" t="n">
        <v>0.8422385076615588</v>
      </c>
      <c r="N12" s="10" t="n">
        <v>0.7114923384410392</v>
      </c>
      <c r="O12" s="10" t="n">
        <v>0.9407061958694204</v>
      </c>
      <c r="P12" s="10" t="n">
        <v>-0.1619944191794842</v>
      </c>
      <c r="Q12" s="10" t="n">
        <v>-0.3468648920043642</v>
      </c>
      <c r="R12" s="10" t="n">
        <v>0.02692407959910778</v>
      </c>
      <c r="S12" s="6" t="inlineStr">
        <is>
          <t>No</t>
        </is>
      </c>
      <c r="T12" s="11" t="n">
        <v>0.008533716477932937</v>
      </c>
      <c r="U12" s="11" t="n">
        <v>1.217404417807552e-06</v>
      </c>
      <c r="V12" s="9" t="n">
        <v>0.2</v>
      </c>
    </row>
    <row r="13">
      <c r="A13" s="12" t="n">
        <v>9</v>
      </c>
      <c r="B13" s="12" t="inlineStr">
        <is>
          <t>ResNet18 / palpebral</t>
        </is>
      </c>
      <c r="C13" s="12" t="inlineStr">
        <is>
          <t>ResNet18</t>
        </is>
      </c>
      <c r="D13" s="12" t="inlineStr">
        <is>
          <t>palpebral</t>
        </is>
      </c>
      <c r="E13" s="13" t="n">
        <v>0.8313387547032406</v>
      </c>
      <c r="F13" s="13" t="n">
        <v>0.7720445442408059</v>
      </c>
      <c r="G13" s="13" t="n">
        <v>0.8863970142007527</v>
      </c>
      <c r="H13" s="13" t="n">
        <v>0.5919145690312739</v>
      </c>
      <c r="I13" s="13" t="n">
        <v>0.4469679633867276</v>
      </c>
      <c r="J13" s="13" t="n">
        <v>0.7292334096109838</v>
      </c>
      <c r="K13" s="13" t="n">
        <v>0.1411327231121281</v>
      </c>
      <c r="L13" s="13" t="n">
        <v>0.03827967887909871</v>
      </c>
      <c r="M13" s="13" t="n">
        <v>0.8492857142857144</v>
      </c>
      <c r="N13" s="13" t="n">
        <v>0.7232142857142858</v>
      </c>
      <c r="O13" s="13" t="n">
        <v>0.9452529761904761</v>
      </c>
      <c r="P13" s="13" t="n">
        <v>-0.2573711452544404</v>
      </c>
      <c r="Q13" s="13" t="n">
        <v>-0.4251257219134794</v>
      </c>
      <c r="R13" s="13" t="n">
        <v>-0.08609281355562846</v>
      </c>
      <c r="S13" s="8" t="inlineStr">
        <is>
          <t>Yes</t>
        </is>
      </c>
      <c r="T13" s="14" t="n">
        <v>0.002145484151219712</v>
      </c>
      <c r="U13" s="14" t="n">
        <v>1.121123493546423e-06</v>
      </c>
      <c r="V13" s="12" t="n">
        <v>0.2</v>
      </c>
    </row>
    <row r="14">
      <c r="A14" s="9" t="n">
        <v>10</v>
      </c>
      <c r="B14" s="9" t="inlineStr">
        <is>
          <t>ConvNeXt-Tiny / forniceal_palpebral</t>
        </is>
      </c>
      <c r="C14" s="9" t="inlineStr">
        <is>
          <t>ConvNeXt-Tiny</t>
        </is>
      </c>
      <c r="D14" s="9" t="inlineStr">
        <is>
          <t>forniceal_palpebral</t>
        </is>
      </c>
      <c r="E14" s="10" t="n">
        <v>0.8310113519091848</v>
      </c>
      <c r="F14" s="10" t="n">
        <v>0.7564338235294118</v>
      </c>
      <c r="G14" s="10" t="n">
        <v>0.8942369711042311</v>
      </c>
      <c r="H14" s="10" t="n">
        <v>0.6974828375286042</v>
      </c>
      <c r="I14" s="10" t="n">
        <v>0.5621662852784135</v>
      </c>
      <c r="J14" s="10" t="n">
        <v>0.8314454614797864</v>
      </c>
      <c r="K14" s="10" t="n">
        <v>0.1346395881006864</v>
      </c>
      <c r="L14" s="10" t="n">
        <v>0.03134166891611213</v>
      </c>
      <c r="M14" s="10" t="n">
        <v>0.8712858094603598</v>
      </c>
      <c r="N14" s="10" t="n">
        <v>0.7581445702864756</v>
      </c>
      <c r="O14" s="10" t="n">
        <v>0.9593770819453696</v>
      </c>
      <c r="P14" s="10" t="n">
        <v>-0.1738029719317557</v>
      </c>
      <c r="Q14" s="10" t="n">
        <v>-0.3453301663625216</v>
      </c>
      <c r="R14" s="10" t="n">
        <v>-0.009582741940155884</v>
      </c>
      <c r="S14" s="8" t="inlineStr">
        <is>
          <t>Yes</t>
        </is>
      </c>
      <c r="T14" s="11" t="n">
        <v>0.07734445970634252</v>
      </c>
      <c r="U14" s="11" t="n">
        <v>0.0004798207267405734</v>
      </c>
      <c r="V14" s="9" t="n">
        <v>0.5</v>
      </c>
    </row>
    <row r="15">
      <c r="A15" s="12" t="n">
        <v>11</v>
      </c>
      <c r="B15" s="12" t="inlineStr">
        <is>
          <t>Swin-Tiny / palpebral</t>
        </is>
      </c>
      <c r="C15" s="12" t="inlineStr">
        <is>
          <t>Swin-Tiny</t>
        </is>
      </c>
      <c r="D15" s="12" t="inlineStr">
        <is>
          <t>palpebral</t>
        </is>
      </c>
      <c r="E15" s="13" t="n">
        <v>0.8250515839300887</v>
      </c>
      <c r="F15" s="13" t="n">
        <v>0.7585750697900231</v>
      </c>
      <c r="G15" s="13" t="n">
        <v>0.8833656997208398</v>
      </c>
      <c r="H15" s="13" t="n">
        <v>0.633714721586575</v>
      </c>
      <c r="I15" s="13" t="n">
        <v>0.4858886346300534</v>
      </c>
      <c r="J15" s="13" t="n">
        <v>0.7765064836003051</v>
      </c>
      <c r="K15" s="13" t="n">
        <v>0.1453089244851258</v>
      </c>
      <c r="L15" s="13" t="n">
        <v>0.03588050742451434</v>
      </c>
      <c r="M15" s="13" t="n">
        <v>0.8202380952380952</v>
      </c>
      <c r="N15" s="13" t="n">
        <v>0.6755654761904762</v>
      </c>
      <c r="O15" s="13" t="n">
        <v>0.9387053571428572</v>
      </c>
      <c r="P15" s="13" t="n">
        <v>-0.1865233736515201</v>
      </c>
      <c r="Q15" s="13" t="n">
        <v>-0.3971483395989976</v>
      </c>
      <c r="R15" s="13" t="n">
        <v>0.03380431377356426</v>
      </c>
      <c r="S15" s="6" t="inlineStr">
        <is>
          <t>No</t>
        </is>
      </c>
      <c r="T15" s="14" t="n">
        <v>0.03142880890840111</v>
      </c>
      <c r="U15" s="14" t="n">
        <v>4.335281794951567e-06</v>
      </c>
      <c r="V15" s="12" t="n">
        <v>0.5</v>
      </c>
    </row>
    <row r="16">
      <c r="A16" s="9" t="n">
        <v>12</v>
      </c>
      <c r="B16" s="9" t="inlineStr">
        <is>
          <t>Swin-Tiny / forniceal_palpebral</t>
        </is>
      </c>
      <c r="C16" s="9" t="inlineStr">
        <is>
          <t>Swin-Tiny</t>
        </is>
      </c>
      <c r="D16" s="9" t="inlineStr">
        <is>
          <t>forniceal_palpebral</t>
        </is>
      </c>
      <c r="E16" s="10" t="n">
        <v>0.8093395252837977</v>
      </c>
      <c r="F16" s="10" t="n">
        <v>0.7333559081527347</v>
      </c>
      <c r="G16" s="10" t="n">
        <v>0.8796471878224974</v>
      </c>
      <c r="H16" s="10" t="n">
        <v>0.6475972540045767</v>
      </c>
      <c r="I16" s="10" t="n">
        <v>0.4973112128146452</v>
      </c>
      <c r="J16" s="10" t="n">
        <v>0.7826086956521739</v>
      </c>
      <c r="K16" s="10" t="n">
        <v>0.1426487414187644</v>
      </c>
      <c r="L16" s="10" t="n">
        <v>0.04270526738441527</v>
      </c>
      <c r="M16" s="10" t="n">
        <v>0.882744836775483</v>
      </c>
      <c r="N16" s="10" t="n">
        <v>0.7661558960692871</v>
      </c>
      <c r="O16" s="10" t="n">
        <v>0.9586942038640907</v>
      </c>
      <c r="P16" s="10" t="n">
        <v>-0.2351475827709063</v>
      </c>
      <c r="Q16" s="10" t="n">
        <v>-0.4016276588554489</v>
      </c>
      <c r="R16" s="10" t="n">
        <v>-0.07162471395881012</v>
      </c>
      <c r="S16" s="8" t="inlineStr">
        <is>
          <t>Yes</t>
        </is>
      </c>
      <c r="T16" s="11" t="n">
        <v>0.06264278041381323</v>
      </c>
      <c r="U16" s="11" t="n">
        <v>3.218056412620644e-05</v>
      </c>
      <c r="V16" s="9" t="n">
        <v>0.2</v>
      </c>
    </row>
    <row r="17">
      <c r="A17" s="12" t="n">
        <v>13</v>
      </c>
      <c r="B17" s="12" t="inlineStr">
        <is>
          <t>DenseNet121 / forniceal_palpebral</t>
        </is>
      </c>
      <c r="C17" s="12" t="inlineStr">
        <is>
          <t>DenseNet121</t>
        </is>
      </c>
      <c r="D17" s="12" t="inlineStr">
        <is>
          <t>forniceal_palpebral</t>
        </is>
      </c>
      <c r="E17" s="13" t="n">
        <v>0.807688338493292</v>
      </c>
      <c r="F17" s="13" t="n">
        <v>0.7440531475748194</v>
      </c>
      <c r="G17" s="13" t="n">
        <v>0.8657217492260061</v>
      </c>
      <c r="H17" s="13" t="n">
        <v>0.5810831426392067</v>
      </c>
      <c r="I17" s="13" t="n">
        <v>0.4317124332570557</v>
      </c>
      <c r="J17" s="13" t="n">
        <v>0.7185926773455374</v>
      </c>
      <c r="K17" s="13" t="n">
        <v>0.1434401220442409</v>
      </c>
      <c r="L17" s="13" t="n">
        <v>0.03764130102405159</v>
      </c>
      <c r="M17" s="13" t="n">
        <v>0.853564290473018</v>
      </c>
      <c r="N17" s="13" t="n">
        <v>0.7288474350433044</v>
      </c>
      <c r="O17" s="13" t="n">
        <v>0.9540473017988007</v>
      </c>
      <c r="P17" s="13" t="n">
        <v>-0.2724811478338113</v>
      </c>
      <c r="Q17" s="13" t="n">
        <v>-0.4683126707798665</v>
      </c>
      <c r="R17" s="13" t="n">
        <v>-0.07445519412179323</v>
      </c>
      <c r="S17" s="8" t="inlineStr">
        <is>
          <t>Yes</t>
        </is>
      </c>
      <c r="T17" s="14" t="n">
        <v>0.01836283912045178</v>
      </c>
      <c r="U17" s="14" t="n">
        <v>0.0001537467136904321</v>
      </c>
      <c r="V17" s="12" t="n">
        <v>0.5</v>
      </c>
    </row>
    <row r="18">
      <c r="A18" s="9" t="n">
        <v>14</v>
      </c>
      <c r="B18" s="9" t="inlineStr">
        <is>
          <t>DenseNet121 / palpebral</t>
        </is>
      </c>
      <c r="C18" s="9" t="inlineStr">
        <is>
          <t>DenseNet121</t>
        </is>
      </c>
      <c r="D18" s="9" t="inlineStr">
        <is>
          <t>palpebral</t>
        </is>
      </c>
      <c r="E18" s="10" t="n">
        <v>0.8059473237043331</v>
      </c>
      <c r="F18" s="10" t="n">
        <v>0.6970415098919772</v>
      </c>
      <c r="G18" s="10" t="n">
        <v>0.8783984706881903</v>
      </c>
      <c r="H18" s="10" t="n">
        <v>0.5868802440884821</v>
      </c>
      <c r="I18" s="10" t="n">
        <v>0.4233409610983982</v>
      </c>
      <c r="J18" s="10" t="n">
        <v>0.7376239511823035</v>
      </c>
      <c r="K18" s="10" t="n">
        <v>0.1571414950419527</v>
      </c>
      <c r="L18" s="10" t="n">
        <v>0.04259818262311865</v>
      </c>
      <c r="M18" s="10" t="n">
        <v>0.8194047619047617</v>
      </c>
      <c r="N18" s="10" t="n">
        <v>0.6850892857142857</v>
      </c>
      <c r="O18" s="10" t="n">
        <v>0.9280059523809523</v>
      </c>
      <c r="P18" s="10" t="n">
        <v>-0.2325245178162799</v>
      </c>
      <c r="Q18" s="10" t="n">
        <v>-0.4171886577857687</v>
      </c>
      <c r="R18" s="10" t="n">
        <v>-0.05227705813446672</v>
      </c>
      <c r="S18" s="8" t="inlineStr">
        <is>
          <t>Yes</t>
        </is>
      </c>
      <c r="T18" s="11" t="n">
        <v>0.0002938027938703536</v>
      </c>
      <c r="U18" s="11" t="n">
        <v>2.937538457632831e-06</v>
      </c>
      <c r="V18" s="9" t="n">
        <v>0.5</v>
      </c>
    </row>
    <row r="19">
      <c r="A19" s="12" t="n">
        <v>15</v>
      </c>
      <c r="B19" s="12" t="inlineStr">
        <is>
          <t>ResNet18 / forniceal_palpebral</t>
        </is>
      </c>
      <c r="C19" s="12" t="inlineStr">
        <is>
          <t>ResNet18</t>
        </is>
      </c>
      <c r="D19" s="12" t="inlineStr">
        <is>
          <t>forniceal_palpebral</t>
        </is>
      </c>
      <c r="E19" s="13" t="n">
        <v>0.8031991744066047</v>
      </c>
      <c r="F19" s="13" t="n">
        <v>0.7070433436532507</v>
      </c>
      <c r="G19" s="13" t="n">
        <v>0.8759029927760578</v>
      </c>
      <c r="H19" s="13" t="n">
        <v>0.6248665141113654</v>
      </c>
      <c r="I19" s="13" t="n">
        <v>0.4805491990846682</v>
      </c>
      <c r="J19" s="13" t="n">
        <v>0.7651029748283752</v>
      </c>
      <c r="K19" s="13" t="n">
        <v>0.1422768878718535</v>
      </c>
      <c r="L19" s="13" t="n">
        <v>0.032251107167541</v>
      </c>
      <c r="M19" s="13" t="n">
        <v>0.8938041305796137</v>
      </c>
      <c r="N19" s="13" t="n">
        <v>0.7774650233177881</v>
      </c>
      <c r="O19" s="13" t="n">
        <v>0.9687041972018655</v>
      </c>
      <c r="P19" s="13" t="n">
        <v>-0.2689376164682482</v>
      </c>
      <c r="Q19" s="13" t="n">
        <v>-0.4336971004837355</v>
      </c>
      <c r="R19" s="13" t="n">
        <v>-0.09554041267174558</v>
      </c>
      <c r="S19" s="8" t="inlineStr">
        <is>
          <t>Yes</t>
        </is>
      </c>
      <c r="T19" s="14" t="n">
        <v>0.0002938027938703536</v>
      </c>
      <c r="U19" s="14" t="n">
        <v>2.937538457632831e-06</v>
      </c>
      <c r="V19" s="12" t="n">
        <v>0.5</v>
      </c>
    </row>
    <row r="20">
      <c r="A20" s="9" t="n">
        <v>16</v>
      </c>
      <c r="B20" s="9" t="inlineStr">
        <is>
          <t>MobileNetV3-Small / forniceal_palpebral</t>
        </is>
      </c>
      <c r="C20" s="9" t="inlineStr">
        <is>
          <t>MobileNetV3-Small</t>
        </is>
      </c>
      <c r="D20" s="9" t="inlineStr">
        <is>
          <t>forniceal_palpebral</t>
        </is>
      </c>
      <c r="E20" s="10" t="n">
        <v>0.736764705882353</v>
      </c>
      <c r="F20" s="10" t="n">
        <v>0.6520672084623323</v>
      </c>
      <c r="G20" s="10" t="n">
        <v>0.8085719814241485</v>
      </c>
      <c r="H20" s="10" t="n">
        <v>0.5876430205949656</v>
      </c>
      <c r="I20" s="10" t="n">
        <v>0.4096109839816934</v>
      </c>
      <c r="J20" s="10" t="n">
        <v>0.7505720823798627</v>
      </c>
      <c r="K20" s="10" t="n">
        <v>0.1704805491990846</v>
      </c>
      <c r="L20" s="10" t="n">
        <v>0.06516629648796736</v>
      </c>
      <c r="M20" s="10" t="n">
        <v>0.7534976682211859</v>
      </c>
      <c r="N20" s="10" t="n">
        <v>0.6162391738840772</v>
      </c>
      <c r="O20" s="10" t="n">
        <v>0.8720852764823451</v>
      </c>
      <c r="P20" s="10" t="n">
        <v>-0.1658546476262202</v>
      </c>
      <c r="Q20" s="10" t="n">
        <v>-0.3886199055701997</v>
      </c>
      <c r="R20" s="10" t="n">
        <v>0.05293258600546498</v>
      </c>
      <c r="S20" s="6" t="inlineStr">
        <is>
          <t>No</t>
        </is>
      </c>
      <c r="T20" s="11" t="n">
        <v>0.008044777829695324</v>
      </c>
      <c r="U20" s="11" t="n">
        <v>0.0001488394312303403</v>
      </c>
      <c r="V20" s="9" t="n">
        <v>0.5</v>
      </c>
    </row>
    <row r="21">
      <c r="A21" s="12" t="n">
        <v>17</v>
      </c>
      <c r="B21" s="12" t="inlineStr">
        <is>
          <t>EfficientNet-B0 / palpebral</t>
        </is>
      </c>
      <c r="C21" s="12" t="inlineStr">
        <is>
          <t>EfficientNet-B0</t>
        </is>
      </c>
      <c r="D21" s="12" t="inlineStr">
        <is>
          <t>palpebral</t>
        </is>
      </c>
      <c r="E21" s="13" t="n">
        <v>0.6538900351984465</v>
      </c>
      <c r="F21" s="13" t="n">
        <v>0.4916616094186188</v>
      </c>
      <c r="G21" s="13" t="n">
        <v>0.7517993688554435</v>
      </c>
      <c r="H21" s="13" t="n">
        <v>0.4959572845156369</v>
      </c>
      <c r="I21" s="13" t="n">
        <v>0.3196033562166285</v>
      </c>
      <c r="J21" s="13" t="n">
        <v>0.6811594202898551</v>
      </c>
      <c r="K21" s="13" t="n">
        <v>0.1807780320366133</v>
      </c>
      <c r="L21" s="13" t="n">
        <v>0.069993629109088</v>
      </c>
      <c r="M21" s="13" t="n">
        <v>0.6599999999999999</v>
      </c>
      <c r="N21" s="13" t="n">
        <v>0.486889880952381</v>
      </c>
      <c r="O21" s="13" t="n">
        <v>0.8047916666666666</v>
      </c>
      <c r="P21" s="13" t="n">
        <v>-0.1640427154843631</v>
      </c>
      <c r="Q21" s="13" t="n">
        <v>-0.3910670698485343</v>
      </c>
      <c r="R21" s="13" t="n">
        <v>0.05204546692819</v>
      </c>
      <c r="S21" s="6" t="inlineStr">
        <is>
          <t>No</t>
        </is>
      </c>
      <c r="T21" s="14" t="n">
        <v>0.03142880890840111</v>
      </c>
      <c r="U21" s="14" t="n">
        <v>4.335281794951567e-06</v>
      </c>
      <c r="V21" s="12" t="n">
        <v>0.5</v>
      </c>
    </row>
    <row r="22">
      <c r="A22" s="9" t="n">
        <v>18</v>
      </c>
      <c r="B22" s="9" t="inlineStr">
        <is>
          <t>MobileNetV3-Small / palpebral</t>
        </is>
      </c>
      <c r="C22" s="9" t="inlineStr">
        <is>
          <t>MobileNetV3-Small</t>
        </is>
      </c>
      <c r="D22" s="9" t="inlineStr">
        <is>
          <t>palpebral</t>
        </is>
      </c>
      <c r="E22" s="10" t="n">
        <v>0.5785896346644009</v>
      </c>
      <c r="F22" s="10" t="n">
        <v>0.4784288141764778</v>
      </c>
      <c r="G22" s="10" t="n">
        <v>0.6713223692195655</v>
      </c>
      <c r="H22" s="10" t="n">
        <v>0.5221967963386728</v>
      </c>
      <c r="I22" s="10" t="n">
        <v>0.3729977116704806</v>
      </c>
      <c r="J22" s="10" t="n">
        <v>0.6690122044241034</v>
      </c>
      <c r="K22" s="10" t="n">
        <v>0.1480072463768114</v>
      </c>
      <c r="L22" s="10" t="n">
        <v>0.03167405907687784</v>
      </c>
      <c r="M22" s="10" t="n">
        <v>0.6042857142857143</v>
      </c>
      <c r="N22" s="10" t="n">
        <v>0.4339136904761905</v>
      </c>
      <c r="O22" s="10" t="n">
        <v>0.7684672619047618</v>
      </c>
      <c r="P22" s="10" t="n">
        <v>-0.08208891794704151</v>
      </c>
      <c r="Q22" s="10" t="n">
        <v>-0.3131845578620464</v>
      </c>
      <c r="R22" s="10" t="n">
        <v>0.1431553407976462</v>
      </c>
      <c r="S22" s="6" t="inlineStr">
        <is>
          <t>No</t>
        </is>
      </c>
      <c r="T22" s="11" t="n">
        <v>0.08088564223049027</v>
      </c>
      <c r="U22" s="11" t="n">
        <v>1.042297146664846e-06</v>
      </c>
      <c r="V22" s="9" t="n">
        <v>0.5</v>
      </c>
    </row>
    <row r="23">
      <c r="A23" s="15" t="inlineStr">
        <is>
          <t>AVERAGE</t>
        </is>
      </c>
      <c r="B23" s="16" t="n"/>
      <c r="C23" s="16" t="n"/>
      <c r="D23" s="16" t="n"/>
      <c r="E23" s="17">
        <f>AVERAGE(E5:E22)</f>
        <v/>
      </c>
      <c r="F23" s="16" t="n"/>
      <c r="G23" s="16" t="n"/>
      <c r="H23" s="17">
        <f>AVERAGE(H5:H22)</f>
        <v/>
      </c>
      <c r="I23" s="16" t="n"/>
      <c r="J23" s="16" t="n"/>
      <c r="K23" s="16" t="n"/>
      <c r="L23" s="16" t="n"/>
      <c r="M23" s="17">
        <f>AVERAGE(M5:M22)</f>
        <v/>
      </c>
      <c r="N23" s="16" t="n"/>
      <c r="O23" s="16" t="n"/>
      <c r="P23" s="17">
        <f>AVERAGE(P5:P22)</f>
        <v/>
      </c>
      <c r="Q23" s="16" t="n"/>
      <c r="R23" s="16" t="n"/>
      <c r="S23" s="15">
        <f>COUNTIF(S5:S22,"Yes")&amp;"/18 significant"</f>
        <v/>
      </c>
      <c r="T23" s="16" t="n"/>
      <c r="U23" s="16" t="n"/>
      <c r="V23" s="16" t="n"/>
    </row>
  </sheetData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1" customWidth="1" min="3" max="3"/>
    <col width="9" customWidth="1" min="4" max="4"/>
    <col width="11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  <col width="9" customWidth="1" min="12" max="12"/>
    <col width="11" customWidth="1" min="13" max="13"/>
    <col width="9" customWidth="1" min="14" max="14"/>
    <col width="11" customWidth="1" min="15" max="15"/>
    <col width="9" customWidth="1" min="16" max="16"/>
  </cols>
  <sheetData>
    <row r="1">
      <c r="A1" s="1" t="inlineStr">
        <is>
          <t>Step 1 — Fold-Averaged Classification Metrics, Same Rank Order</t>
        </is>
      </c>
    </row>
    <row r="2">
      <c r="A2" s="2" t="inlineStr">
        <is>
          <t>Mean +/- SD across each combo's 25 (5 folds x 5 repeats) individual held-out sets (~37 patients each). NOT pooled or bootstrapped like the AUC figures on the Full Leaderboard tab -- a simple average of 25 independently-fit models' own metrics. 'Fold-mean AUC' is included for reference/cross-check only; the pooled Overall AUC on tab 1 is the authoritative AUC figure (computed once over all 184 pooled out-of-fold predictions per repeat, not averaged across folds).</t>
        </is>
      </c>
    </row>
    <row r="4" ht="44" customHeight="1">
      <c r="A4" s="3" t="inlineStr">
        <is>
          <t>Rank</t>
        </is>
      </c>
      <c r="B4" s="3" t="inlineStr">
        <is>
          <t>Model</t>
        </is>
      </c>
      <c r="C4" s="3" t="inlineStr">
        <is>
          <t>Accuracy
Mean</t>
        </is>
      </c>
      <c r="D4" s="3" t="inlineStr">
        <is>
          <t>Accuracy
SD</t>
        </is>
      </c>
      <c r="E4" s="3" t="inlineStr">
        <is>
          <t>Precision
Mean</t>
        </is>
      </c>
      <c r="F4" s="3" t="inlineStr">
        <is>
          <t>Precision
SD</t>
        </is>
      </c>
      <c r="G4" s="3" t="inlineStr">
        <is>
          <t>Recall / Sensitivity
Mean</t>
        </is>
      </c>
      <c r="H4" s="3" t="inlineStr">
        <is>
          <t>Recall / Sensitivity
SD</t>
        </is>
      </c>
      <c r="I4" s="3" t="inlineStr">
        <is>
          <t>Specificity
Mean</t>
        </is>
      </c>
      <c r="J4" s="3" t="inlineStr">
        <is>
          <t>Specificity
SD</t>
        </is>
      </c>
      <c r="K4" s="3" t="inlineStr">
        <is>
          <t>Balanced Accuracy
Mean</t>
        </is>
      </c>
      <c r="L4" s="3" t="inlineStr">
        <is>
          <t>Balanced Accuracy
SD</t>
        </is>
      </c>
      <c r="M4" s="3" t="inlineStr">
        <is>
          <t>F1
Mean</t>
        </is>
      </c>
      <c r="N4" s="3" t="inlineStr">
        <is>
          <t>F1
SD</t>
        </is>
      </c>
      <c r="O4" s="3" t="inlineStr">
        <is>
          <t>AUC (fold-mean, reference only)
Mean</t>
        </is>
      </c>
      <c r="P4" s="3" t="inlineStr">
        <is>
          <t>AUC (fold-mean, reference only)
SD</t>
        </is>
      </c>
    </row>
    <row r="5">
      <c r="A5" s="4" t="n">
        <v>1</v>
      </c>
      <c r="B5" s="4" t="inlineStr">
        <is>
          <t>ViT-B/16 / palpebral</t>
        </is>
      </c>
      <c r="C5" s="5" t="n">
        <v>0.7954954954954955</v>
      </c>
      <c r="D5" s="5" t="n">
        <v>0.05496269780862886</v>
      </c>
      <c r="E5" s="5" t="n">
        <v>0.7263163583922098</v>
      </c>
      <c r="F5" s="5" t="n">
        <v>0.06707762855965455</v>
      </c>
      <c r="G5" s="5" t="n">
        <v>0.8316666666666667</v>
      </c>
      <c r="H5" s="5" t="n">
        <v>0.09771699499632146</v>
      </c>
      <c r="I5" s="5" t="n">
        <v>0.7702164502164502</v>
      </c>
      <c r="J5" s="5" t="n">
        <v>0.07484421581269778</v>
      </c>
      <c r="K5" s="5" t="n">
        <v>0.8009415584415585</v>
      </c>
      <c r="L5" s="5" t="n">
        <v>0.0568494597135833</v>
      </c>
      <c r="M5" s="5" t="n">
        <v>0.7718105645259346</v>
      </c>
      <c r="N5" s="5" t="n">
        <v>0.06314380610494481</v>
      </c>
      <c r="O5" s="5" t="n">
        <v>0.8773297258297258</v>
      </c>
      <c r="P5" s="5" t="n">
        <v>0.05701615267843154</v>
      </c>
    </row>
    <row r="6">
      <c r="A6" s="4" t="n">
        <v>2</v>
      </c>
      <c r="B6" s="4" t="inlineStr">
        <is>
          <t>EfficientNet-B0 / forniceal_palpebral</t>
        </is>
      </c>
      <c r="C6" s="5" t="n">
        <v>0.8098412698412699</v>
      </c>
      <c r="D6" s="5" t="n">
        <v>0.04974318863577863</v>
      </c>
      <c r="E6" s="5" t="n">
        <v>0.737966473670808</v>
      </c>
      <c r="F6" s="5" t="n">
        <v>0.06346933372476557</v>
      </c>
      <c r="G6" s="5" t="n">
        <v>0.8674285714285714</v>
      </c>
      <c r="H6" s="5" t="n">
        <v>0.09649170601236211</v>
      </c>
      <c r="I6" s="5" t="n">
        <v>0.7662857142857142</v>
      </c>
      <c r="J6" s="5" t="n">
        <v>0.07246822745817443</v>
      </c>
      <c r="K6" s="5" t="n">
        <v>0.8168571428571428</v>
      </c>
      <c r="L6" s="5" t="n">
        <v>0.05162009698550455</v>
      </c>
      <c r="M6" s="5" t="n">
        <v>0.7938783691653875</v>
      </c>
      <c r="N6" s="5" t="n">
        <v>0.06083239644621698</v>
      </c>
      <c r="O6" s="5" t="n">
        <v>0.8700748866213152</v>
      </c>
      <c r="P6" s="5" t="n">
        <v>0.0391296291365698</v>
      </c>
    </row>
    <row r="7">
      <c r="A7" s="4" t="n">
        <v>3</v>
      </c>
      <c r="B7" s="4" t="inlineStr">
        <is>
          <t>RegNetY-400MF / palpebral</t>
        </is>
      </c>
      <c r="C7" s="5" t="n">
        <v>0.7977777777777778</v>
      </c>
      <c r="D7" s="5" t="n">
        <v>0.03081271689776351</v>
      </c>
      <c r="E7" s="5" t="n">
        <v>0.7385069782298884</v>
      </c>
      <c r="F7" s="5" t="n">
        <v>0.04107700390207752</v>
      </c>
      <c r="G7" s="5" t="n">
        <v>0.8053333333333333</v>
      </c>
      <c r="H7" s="5" t="n">
        <v>0.07487953288078424</v>
      </c>
      <c r="I7" s="5" t="n">
        <v>0.7923809523809524</v>
      </c>
      <c r="J7" s="5" t="n">
        <v>0.04921534069588564</v>
      </c>
      <c r="K7" s="5" t="n">
        <v>0.7988571428571428</v>
      </c>
      <c r="L7" s="5" t="n">
        <v>0.03384525172445389</v>
      </c>
      <c r="M7" s="5" t="n">
        <v>0.7681647932906194</v>
      </c>
      <c r="N7" s="5" t="n">
        <v>0.03965118993897863</v>
      </c>
      <c r="O7" s="5" t="n">
        <v>0.8702979797979798</v>
      </c>
      <c r="P7" s="5" t="n">
        <v>0.03260641480409628</v>
      </c>
    </row>
    <row r="8">
      <c r="A8" s="9" t="n">
        <v>4</v>
      </c>
      <c r="B8" s="9" t="inlineStr">
        <is>
          <t>ViT-L/16 / forniceal_palpebral</t>
        </is>
      </c>
      <c r="C8" s="10" t="n">
        <v>0.7901269841269841</v>
      </c>
      <c r="D8" s="10" t="n">
        <v>0.07347990631617014</v>
      </c>
      <c r="E8" s="10" t="n">
        <v>0.7499881991073941</v>
      </c>
      <c r="F8" s="10" t="n">
        <v>0.08283308616939321</v>
      </c>
      <c r="G8" s="10" t="n">
        <v>0.7672142857142857</v>
      </c>
      <c r="H8" s="10" t="n">
        <v>0.138458437269442</v>
      </c>
      <c r="I8" s="10" t="n">
        <v>0.8052380952380952</v>
      </c>
      <c r="J8" s="10" t="n">
        <v>0.07779802133705391</v>
      </c>
      <c r="K8" s="10" t="n">
        <v>0.7862261904761905</v>
      </c>
      <c r="L8" s="10" t="n">
        <v>0.07770572109620293</v>
      </c>
      <c r="M8" s="10" t="n">
        <v>0.7534798875448961</v>
      </c>
      <c r="N8" s="10" t="n">
        <v>0.09389788132148602</v>
      </c>
      <c r="O8" s="10" t="n">
        <v>0.863518537414966</v>
      </c>
      <c r="P8" s="10" t="n">
        <v>0.05484002662664724</v>
      </c>
    </row>
    <row r="9">
      <c r="A9" s="12" t="n">
        <v>5</v>
      </c>
      <c r="B9" s="12" t="inlineStr">
        <is>
          <t>ConvNeXt-Tiny / palpebral</t>
        </is>
      </c>
      <c r="C9" s="13" t="n">
        <v>0.7899699699699699</v>
      </c>
      <c r="D9" s="13" t="n">
        <v>0.05176156479396901</v>
      </c>
      <c r="E9" s="13" t="n">
        <v>0.7298170066947156</v>
      </c>
      <c r="F9" s="13" t="n">
        <v>0.07086206359657675</v>
      </c>
      <c r="G9" s="13" t="n">
        <v>0.8028333333333333</v>
      </c>
      <c r="H9" s="13" t="n">
        <v>0.09447038042570688</v>
      </c>
      <c r="I9" s="13" t="n">
        <v>0.7812987012987013</v>
      </c>
      <c r="J9" s="13" t="n">
        <v>0.07261971965461304</v>
      </c>
      <c r="K9" s="13" t="n">
        <v>0.7920660173160173</v>
      </c>
      <c r="L9" s="13" t="n">
        <v>0.05376232899012091</v>
      </c>
      <c r="M9" s="13" t="n">
        <v>0.7607605262012447</v>
      </c>
      <c r="N9" s="13" t="n">
        <v>0.06125844672439311</v>
      </c>
      <c r="O9" s="13" t="n">
        <v>0.8652568542568543</v>
      </c>
      <c r="P9" s="13" t="n">
        <v>0.05371709748223045</v>
      </c>
    </row>
    <row r="10">
      <c r="A10" s="9" t="n">
        <v>6</v>
      </c>
      <c r="B10" s="9" t="inlineStr">
        <is>
          <t>ViT-L/16 / palpebral</t>
        </is>
      </c>
      <c r="C10" s="10" t="n">
        <v>0.7887987987987988</v>
      </c>
      <c r="D10" s="10" t="n">
        <v>0.06784703355124266</v>
      </c>
      <c r="E10" s="10" t="n">
        <v>0.7291399626517273</v>
      </c>
      <c r="F10" s="10" t="n">
        <v>0.09615857167639785</v>
      </c>
      <c r="G10" s="10" t="n">
        <v>0.8213333333333334</v>
      </c>
      <c r="H10" s="10" t="n">
        <v>0.09686432139471819</v>
      </c>
      <c r="I10" s="10" t="n">
        <v>0.7657142857142857</v>
      </c>
      <c r="J10" s="10" t="n">
        <v>0.1189004074721662</v>
      </c>
      <c r="K10" s="10" t="n">
        <v>0.7935238095238095</v>
      </c>
      <c r="L10" s="10" t="n">
        <v>0.0634835667849479</v>
      </c>
      <c r="M10" s="10" t="n">
        <v>0.7664570150095897</v>
      </c>
      <c r="N10" s="10" t="n">
        <v>0.06694170318199127</v>
      </c>
      <c r="O10" s="10" t="n">
        <v>0.865085137085137</v>
      </c>
      <c r="P10" s="10" t="n">
        <v>0.06685854746466287</v>
      </c>
    </row>
    <row r="11">
      <c r="A11" s="12" t="n">
        <v>7</v>
      </c>
      <c r="B11" s="12" t="inlineStr">
        <is>
          <t>RegNetY-400MF / forniceal_palpebral</t>
        </is>
      </c>
      <c r="C11" s="13" t="n">
        <v>0.7750793650793651</v>
      </c>
      <c r="D11" s="13" t="n">
        <v>0.04518585120260553</v>
      </c>
      <c r="E11" s="13" t="n">
        <v>0.7151040591675266</v>
      </c>
      <c r="F11" s="13" t="n">
        <v>0.05535672533191844</v>
      </c>
      <c r="G11" s="13" t="n">
        <v>0.7884285714285715</v>
      </c>
      <c r="H11" s="13" t="n">
        <v>0.09245468849954554</v>
      </c>
      <c r="I11" s="13" t="n">
        <v>0.7645714285714286</v>
      </c>
      <c r="J11" s="13" t="n">
        <v>0.05900295930162493</v>
      </c>
      <c r="K11" s="13" t="n">
        <v>0.7765</v>
      </c>
      <c r="L11" s="13" t="n">
        <v>0.04823728140619367</v>
      </c>
      <c r="M11" s="13" t="n">
        <v>0.7472916247722896</v>
      </c>
      <c r="N11" s="13" t="n">
        <v>0.05974406262981826</v>
      </c>
      <c r="O11" s="13" t="n">
        <v>0.8473562925170068</v>
      </c>
      <c r="P11" s="13" t="n">
        <v>0.03717080373057381</v>
      </c>
    </row>
    <row r="12">
      <c r="A12" s="9" t="n">
        <v>8</v>
      </c>
      <c r="B12" s="9" t="inlineStr">
        <is>
          <t>ViT-B/16 / forniceal_palpebral</t>
        </is>
      </c>
      <c r="C12" s="10" t="n">
        <v>0.7719365079365079</v>
      </c>
      <c r="D12" s="10" t="n">
        <v>0.0830651643804531</v>
      </c>
      <c r="E12" s="10" t="n">
        <v>0.7370452225792783</v>
      </c>
      <c r="F12" s="10" t="n">
        <v>0.1048581314629272</v>
      </c>
      <c r="G12" s="10" t="n">
        <v>0.7511666666666666</v>
      </c>
      <c r="H12" s="10" t="n">
        <v>0.1542627290038419</v>
      </c>
      <c r="I12" s="10" t="n">
        <v>0.7867619047619048</v>
      </c>
      <c r="J12" s="10" t="n">
        <v>0.1126664385673066</v>
      </c>
      <c r="K12" s="10" t="n">
        <v>0.7689642857142858</v>
      </c>
      <c r="L12" s="10" t="n">
        <v>0.08603998518669052</v>
      </c>
      <c r="M12" s="10" t="n">
        <v>0.7342693783723485</v>
      </c>
      <c r="N12" s="10" t="n">
        <v>0.1022303505796617</v>
      </c>
      <c r="O12" s="10" t="n">
        <v>0.8484958049886622</v>
      </c>
      <c r="P12" s="10" t="n">
        <v>0.06986546490723265</v>
      </c>
    </row>
    <row r="13">
      <c r="A13" s="12" t="n">
        <v>9</v>
      </c>
      <c r="B13" s="12" t="inlineStr">
        <is>
          <t>ResNet18 / palpebral</t>
        </is>
      </c>
      <c r="C13" s="13" t="n">
        <v>0.7662762762762763</v>
      </c>
      <c r="D13" s="13" t="n">
        <v>0.06321805753956185</v>
      </c>
      <c r="E13" s="13" t="n">
        <v>0.690939172798306</v>
      </c>
      <c r="F13" s="13" t="n">
        <v>0.06471122427324227</v>
      </c>
      <c r="G13" s="13" t="n">
        <v>0.8001666666666667</v>
      </c>
      <c r="H13" s="13" t="n">
        <v>0.1343197022309364</v>
      </c>
      <c r="I13" s="13" t="n">
        <v>0.741991341991342</v>
      </c>
      <c r="J13" s="13" t="n">
        <v>0.07216540241173677</v>
      </c>
      <c r="K13" s="13" t="n">
        <v>0.7710790043290043</v>
      </c>
      <c r="L13" s="13" t="n">
        <v>0.06969771363558627</v>
      </c>
      <c r="M13" s="13" t="n">
        <v>0.7371071358107281</v>
      </c>
      <c r="N13" s="13" t="n">
        <v>0.08780714902240234</v>
      </c>
      <c r="O13" s="13" t="n">
        <v>0.8410367965367965</v>
      </c>
      <c r="P13" s="13" t="n">
        <v>0.05990837923165051</v>
      </c>
    </row>
    <row r="14">
      <c r="A14" s="9" t="n">
        <v>10</v>
      </c>
      <c r="B14" s="9" t="inlineStr">
        <is>
          <t>ConvNeXt-Tiny / forniceal_palpebral</t>
        </is>
      </c>
      <c r="C14" s="10" t="n">
        <v>0.7414920634920635</v>
      </c>
      <c r="D14" s="10" t="n">
        <v>0.08844949981184073</v>
      </c>
      <c r="E14" s="10" t="n">
        <v>0.6918007509966589</v>
      </c>
      <c r="F14" s="10" t="n">
        <v>0.115708953344042</v>
      </c>
      <c r="G14" s="10" t="n">
        <v>0.7691666666666667</v>
      </c>
      <c r="H14" s="10" t="n">
        <v>0.1214353795165853</v>
      </c>
      <c r="I14" s="10" t="n">
        <v>0.7202857142857143</v>
      </c>
      <c r="J14" s="10" t="n">
        <v>0.1532544409090719</v>
      </c>
      <c r="K14" s="10" t="n">
        <v>0.7447261904761905</v>
      </c>
      <c r="L14" s="10" t="n">
        <v>0.08314975527757786</v>
      </c>
      <c r="M14" s="10" t="n">
        <v>0.7189577770961166</v>
      </c>
      <c r="N14" s="10" t="n">
        <v>0.0838201488971245</v>
      </c>
      <c r="O14" s="10" t="n">
        <v>0.8424642290249433</v>
      </c>
      <c r="P14" s="10" t="n">
        <v>0.08573918549320844</v>
      </c>
    </row>
    <row r="15">
      <c r="A15" s="12" t="n">
        <v>11</v>
      </c>
      <c r="B15" s="12" t="inlineStr">
        <is>
          <t>Swin-Tiny / palpebral</t>
        </is>
      </c>
      <c r="C15" s="13" t="n">
        <v>0.7574774774774775</v>
      </c>
      <c r="D15" s="13" t="n">
        <v>0.06190715758152274</v>
      </c>
      <c r="E15" s="13" t="n">
        <v>0.7020885973555916</v>
      </c>
      <c r="F15" s="13" t="n">
        <v>0.09231070676714156</v>
      </c>
      <c r="G15" s="13" t="n">
        <v>0.7611666666666667</v>
      </c>
      <c r="H15" s="13" t="n">
        <v>0.1052081270625041</v>
      </c>
      <c r="I15" s="13" t="n">
        <v>0.7547186147186147</v>
      </c>
      <c r="J15" s="13" t="n">
        <v>0.1048419994824651</v>
      </c>
      <c r="K15" s="13" t="n">
        <v>0.7579426406926407</v>
      </c>
      <c r="L15" s="13" t="n">
        <v>0.06018653783667847</v>
      </c>
      <c r="M15" s="13" t="n">
        <v>0.7238477396834928</v>
      </c>
      <c r="N15" s="13" t="n">
        <v>0.06723931449091258</v>
      </c>
      <c r="O15" s="13" t="n">
        <v>0.8365844155844155</v>
      </c>
      <c r="P15" s="13" t="n">
        <v>0.05575359582164584</v>
      </c>
    </row>
    <row r="16">
      <c r="A16" s="9" t="n">
        <v>12</v>
      </c>
      <c r="B16" s="9" t="inlineStr">
        <is>
          <t>Swin-Tiny / forniceal_palpebral</t>
        </is>
      </c>
      <c r="C16" s="10" t="n">
        <v>0.7393333333333333</v>
      </c>
      <c r="D16" s="10" t="n">
        <v>0.08373143758896982</v>
      </c>
      <c r="E16" s="10" t="n">
        <v>0.7015892623252968</v>
      </c>
      <c r="F16" s="10" t="n">
        <v>0.1196135000907936</v>
      </c>
      <c r="G16" s="10" t="n">
        <v>0.7201666666666666</v>
      </c>
      <c r="H16" s="10" t="n">
        <v>0.1449034289865094</v>
      </c>
      <c r="I16" s="10" t="n">
        <v>0.7512380952380953</v>
      </c>
      <c r="J16" s="10" t="n">
        <v>0.1300239817405404</v>
      </c>
      <c r="K16" s="10" t="n">
        <v>0.7357023809523809</v>
      </c>
      <c r="L16" s="10" t="n">
        <v>0.08346695459267585</v>
      </c>
      <c r="M16" s="10" t="n">
        <v>0.6996621922669681</v>
      </c>
      <c r="N16" s="10" t="n">
        <v>0.09929990614575779</v>
      </c>
      <c r="O16" s="10" t="n">
        <v>0.8176461451247166</v>
      </c>
      <c r="P16" s="10" t="n">
        <v>0.08639973644874259</v>
      </c>
    </row>
    <row r="17">
      <c r="A17" s="12" t="n">
        <v>13</v>
      </c>
      <c r="B17" s="12" t="inlineStr">
        <is>
          <t>DenseNet121 / forniceal_palpebral</t>
        </is>
      </c>
      <c r="C17" s="13" t="n">
        <v>0.7176190476190476</v>
      </c>
      <c r="D17" s="13" t="n">
        <v>0.08845795010014673</v>
      </c>
      <c r="E17" s="13" t="n">
        <v>0.665776244186259</v>
      </c>
      <c r="F17" s="13" t="n">
        <v>0.1090582938547722</v>
      </c>
      <c r="G17" s="13" t="n">
        <v>0.74</v>
      </c>
      <c r="H17" s="13" t="n">
        <v>0.1311297049778913</v>
      </c>
      <c r="I17" s="13" t="n">
        <v>0.6993333333333334</v>
      </c>
      <c r="J17" s="13" t="n">
        <v>0.156434067695957</v>
      </c>
      <c r="K17" s="13" t="n">
        <v>0.7196666666666667</v>
      </c>
      <c r="L17" s="13" t="n">
        <v>0.0817876745623536</v>
      </c>
      <c r="M17" s="13" t="n">
        <v>0.6909353897667841</v>
      </c>
      <c r="N17" s="13" t="n">
        <v>0.08280066312407881</v>
      </c>
      <c r="O17" s="13" t="n">
        <v>0.8161994331065759</v>
      </c>
      <c r="P17" s="13" t="n">
        <v>0.06874609863173413</v>
      </c>
    </row>
    <row r="18">
      <c r="A18" s="9" t="n">
        <v>14</v>
      </c>
      <c r="B18" s="9" t="inlineStr">
        <is>
          <t>DenseNet121 / palpebral</t>
        </is>
      </c>
      <c r="C18" s="10" t="n">
        <v>0.7318018018018018</v>
      </c>
      <c r="D18" s="10" t="n">
        <v>0.1333532630926673</v>
      </c>
      <c r="E18" s="10" t="n">
        <v>0.6675371453882412</v>
      </c>
      <c r="F18" s="10" t="n">
        <v>0.1276795395802174</v>
      </c>
      <c r="G18" s="10" t="n">
        <v>0.8041666666666667</v>
      </c>
      <c r="H18" s="10" t="n">
        <v>0.1276569477008451</v>
      </c>
      <c r="I18" s="10" t="n">
        <v>0.680952380952381</v>
      </c>
      <c r="J18" s="10" t="n">
        <v>0.2137155897547566</v>
      </c>
      <c r="K18" s="10" t="n">
        <v>0.7425595238095238</v>
      </c>
      <c r="L18" s="10" t="n">
        <v>0.1205564414784549</v>
      </c>
      <c r="M18" s="10" t="n">
        <v>0.7214870161854495</v>
      </c>
      <c r="N18" s="10" t="n">
        <v>0.1089301554376881</v>
      </c>
      <c r="O18" s="10" t="n">
        <v>0.7978268398268398</v>
      </c>
      <c r="P18" s="10" t="n">
        <v>0.1280627006590487</v>
      </c>
    </row>
    <row r="19">
      <c r="A19" s="12" t="n">
        <v>15</v>
      </c>
      <c r="B19" s="12" t="inlineStr">
        <is>
          <t>ResNet18 / forniceal_palpebral</t>
        </is>
      </c>
      <c r="C19" s="13" t="n">
        <v>0.7135555555555556</v>
      </c>
      <c r="D19" s="13" t="n">
        <v>0.132305205576064</v>
      </c>
      <c r="E19" s="13" t="n">
        <v>0.6522110433635403</v>
      </c>
      <c r="F19" s="13" t="n">
        <v>0.2006011824323308</v>
      </c>
      <c r="G19" s="13" t="n">
        <v>0.6764761904761905</v>
      </c>
      <c r="H19" s="13" t="n">
        <v>0.2310196882776057</v>
      </c>
      <c r="I19" s="13" t="n">
        <v>0.7408571428571429</v>
      </c>
      <c r="J19" s="13" t="n">
        <v>0.2004973973626749</v>
      </c>
      <c r="K19" s="13" t="n">
        <v>0.7086666666666667</v>
      </c>
      <c r="L19" s="13" t="n">
        <v>0.1335191139452989</v>
      </c>
      <c r="M19" s="13" t="n">
        <v>0.6483937258482125</v>
      </c>
      <c r="N19" s="13" t="n">
        <v>0.212538169007824</v>
      </c>
      <c r="O19" s="13" t="n">
        <v>0.7821750566893424</v>
      </c>
      <c r="P19" s="13" t="n">
        <v>0.1563926013654386</v>
      </c>
    </row>
    <row r="20">
      <c r="A20" s="9" t="n">
        <v>16</v>
      </c>
      <c r="B20" s="9" t="inlineStr">
        <is>
          <t>MobileNetV3-Small / forniceal_palpebral</t>
        </is>
      </c>
      <c r="C20" s="10" t="n">
        <v>0.6705079365079365</v>
      </c>
      <c r="D20" s="10" t="n">
        <v>0.1074910274751075</v>
      </c>
      <c r="E20" s="10" t="n">
        <v>0.6038666444955313</v>
      </c>
      <c r="F20" s="10" t="n">
        <v>0.09934581879902694</v>
      </c>
      <c r="G20" s="10" t="n">
        <v>0.8081666666666667</v>
      </c>
      <c r="H20" s="10" t="n">
        <v>0.1330091367578683</v>
      </c>
      <c r="I20" s="10" t="n">
        <v>0.5705714285714285</v>
      </c>
      <c r="J20" s="10" t="n">
        <v>0.2267785588172502</v>
      </c>
      <c r="K20" s="10" t="n">
        <v>0.6893690476190476</v>
      </c>
      <c r="L20" s="10" t="n">
        <v>0.08586913509333842</v>
      </c>
      <c r="M20" s="10" t="n">
        <v>0.6791569926495777</v>
      </c>
      <c r="N20" s="10" t="n">
        <v>0.07171449326688277</v>
      </c>
      <c r="O20" s="10" t="n">
        <v>0.755228231292517</v>
      </c>
      <c r="P20" s="10" t="n">
        <v>0.09666869516972401</v>
      </c>
    </row>
    <row r="21">
      <c r="A21" s="12" t="n">
        <v>17</v>
      </c>
      <c r="B21" s="12" t="inlineStr">
        <is>
          <t>EfficientNet-B0 / palpebral</t>
        </is>
      </c>
      <c r="C21" s="13" t="n">
        <v>0.6031831831831832</v>
      </c>
      <c r="D21" s="13" t="n">
        <v>0.09981928830012349</v>
      </c>
      <c r="E21" s="13" t="n">
        <v>0.4946210119706437</v>
      </c>
      <c r="F21" s="13" t="n">
        <v>0.2339025724838454</v>
      </c>
      <c r="G21" s="13" t="n">
        <v>0.452</v>
      </c>
      <c r="H21" s="13" t="n">
        <v>0.2744737177932693</v>
      </c>
      <c r="I21" s="13" t="n">
        <v>0.7115151515151515</v>
      </c>
      <c r="J21" s="13" t="n">
        <v>0.2123856466427774</v>
      </c>
      <c r="K21" s="13" t="n">
        <v>0.5817575757575758</v>
      </c>
      <c r="L21" s="13" t="n">
        <v>0.1048092042183348</v>
      </c>
      <c r="M21" s="13" t="n">
        <v>0.4430961432277677</v>
      </c>
      <c r="N21" s="13" t="n">
        <v>0.2215892408038849</v>
      </c>
      <c r="O21" s="13" t="n">
        <v>0.6561825396825397</v>
      </c>
      <c r="P21" s="13" t="n">
        <v>0.1492094164178414</v>
      </c>
    </row>
    <row r="22">
      <c r="A22" s="9" t="n">
        <v>18</v>
      </c>
      <c r="B22" s="9" t="inlineStr">
        <is>
          <t>MobileNetV3-Small / palpebral</t>
        </is>
      </c>
      <c r="C22" s="10" t="n">
        <v>0.5585585585585585</v>
      </c>
      <c r="D22" s="10" t="n">
        <v>0.1183387367228572</v>
      </c>
      <c r="E22" s="10" t="n">
        <v>0.4590648687687227</v>
      </c>
      <c r="F22" s="10" t="n">
        <v>0.2678525343805159</v>
      </c>
      <c r="G22" s="10" t="n">
        <v>0.4946666666666666</v>
      </c>
      <c r="H22" s="10" t="n">
        <v>0.3422177973649724</v>
      </c>
      <c r="I22" s="10" t="n">
        <v>0.5995670995670995</v>
      </c>
      <c r="J22" s="10" t="n">
        <v>0.3595935637539212</v>
      </c>
      <c r="K22" s="10" t="n">
        <v>0.5471168831168831</v>
      </c>
      <c r="L22" s="10" t="n">
        <v>0.1005442754681142</v>
      </c>
      <c r="M22" s="10" t="n">
        <v>0.4154819519143572</v>
      </c>
      <c r="N22" s="10" t="n">
        <v>0.237891691118246</v>
      </c>
      <c r="O22" s="10" t="n">
        <v>0.602579365079365</v>
      </c>
      <c r="P22" s="10" t="n">
        <v>0.1539399872772888</v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0" customWidth="1" min="3" max="3"/>
    <col width="26" customWidth="1" min="4" max="4"/>
    <col width="60" customWidth="1" min="5" max="5"/>
  </cols>
  <sheetData>
    <row r="1">
      <c r="A1" s="1" t="inlineStr">
        <is>
          <t>Step 1 — Verification Gate Summary</t>
        </is>
      </c>
    </row>
    <row r="3" ht="20" customHeight="1">
      <c r="A3" s="3" t="inlineStr">
        <is>
          <t>Gate</t>
        </is>
      </c>
      <c r="B3" s="3" t="inlineStr">
        <is>
          <t>Description</t>
        </is>
      </c>
      <c r="C3" s="3" t="inlineStr">
        <is>
          <t>Result</t>
        </is>
      </c>
      <c r="D3" s="3" t="inlineStr">
        <is>
          <t>Key Metric</t>
        </is>
      </c>
      <c r="E3" s="3" t="inlineStr">
        <is>
          <t>Detail</t>
        </is>
      </c>
    </row>
    <row r="4" ht="40" customHeight="1">
      <c r="A4" s="18" t="inlineStr">
        <is>
          <t>5 — Negative Control</t>
        </is>
      </c>
      <c r="B4" s="18" t="inlineStr">
        <is>
          <t>Label-shuffle leakage test</t>
        </is>
      </c>
      <c r="C4" s="19" t="inlineStr">
        <is>
          <t>PASS</t>
        </is>
      </c>
      <c r="D4" s="18" t="inlineStr">
        <is>
          <t>2 controls run</t>
        </is>
      </c>
      <c r="E4" s="18" t="inlineStr">
        <is>
          <t>Both global and within-country label shuffles landed at chance AUC.</t>
        </is>
      </c>
    </row>
    <row r="5" ht="40" customHeight="1">
      <c r="A5" s="18" t="inlineStr">
        <is>
          <t>7 — Plausibility</t>
        </is>
      </c>
      <c r="B5" s="18" t="inlineStr">
        <is>
          <t>Pooled India AUC within [0.40, 0.90]</t>
        </is>
      </c>
      <c r="C5" s="19" t="inlineStr">
        <is>
          <t>PASS</t>
        </is>
      </c>
      <c r="D5" s="18" t="inlineStr">
        <is>
          <t>range [0.490, 0.740]</t>
        </is>
      </c>
      <c r="E5" s="18" t="inlineStr">
        <is>
          <t>All 18 combos inside the sane range.</t>
        </is>
      </c>
    </row>
    <row r="6" ht="40" customHeight="1">
      <c r="A6" s="18" t="inlineStr">
        <is>
          <t>8 — Precision</t>
        </is>
      </c>
      <c r="B6" s="18" t="inlineStr">
        <is>
          <t>India AUC 95% CI half-width &lt;= 0.12</t>
        </is>
      </c>
      <c r="C6" s="20" t="inlineStr">
        <is>
          <t>FAIL</t>
        </is>
      </c>
      <c r="D6" s="18" t="inlineStr">
        <is>
          <t>worst=0.181, median=0.143</t>
        </is>
      </c>
      <c r="E6" s="18" t="inlineStr">
        <is>
          <t>18/18 combos exceeded 0.12 -- still ~1.9x tighter than the single-split ~0.27 half-width.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How to Read This Workbook</t>
        </is>
      </c>
    </row>
    <row r="3" ht="8" customHeight="1">
      <c r="A3" s="21" t="inlineStr"/>
    </row>
    <row r="4" ht="30" customHeight="1">
      <c r="A4" s="22" t="inlineStr">
        <is>
          <t>RANKING: 'Full Leaderboard' is sorted by pooled Overall AUC, descending -- the single most defensible, holistic performance number this harness produces (bootstrapped over all 184 patients' pooled out-of-fold predictions).</t>
        </is>
      </c>
    </row>
    <row r="5" ht="8" customHeight="1">
      <c r="A5" s="21" t="inlineStr"/>
    </row>
    <row r="6" ht="30" customHeight="1">
      <c r="A6" s="22" t="inlineStr">
        <is>
          <t>TWO DIFFERENT KINDS OF NUMBER IN THIS WORKBOOK, DO NOT MIX THEM:</t>
        </is>
      </c>
    </row>
    <row r="7" ht="30" customHeight="1">
      <c r="A7" s="21" t="inlineStr">
        <is>
          <t xml:space="preserve">  (1) Pooled/bootstrapped AUC (Full Leaderboard tab) -- computed ONCE over all out-of-fold predictions pooled together per repeat, then averaged across 5 repeats, with a 2,000-replicate bootstrap CI. This is the harness's actual designed statistic and the only one with a formal confidence interval and precision gate behind it.</t>
        </is>
      </c>
    </row>
    <row r="8" ht="30" customHeight="1">
      <c r="A8" s="21" t="inlineStr">
        <is>
          <t xml:space="preserve">  (2) Fold-averaged classification metrics (Fold-Averaged Metrics tab) -- a plain mean +/- SD of each of the 25 individual folds' own accuracy/precision/recall/specificity/balanced accuracy/F1, each computed on that fold's own ~37-patient held-out set. No bootstrap, no pooling -- this is a much cruder estimator, included because these metrics were requested but were never part of the harness's original pooled-statistic design (which targeted AUC specifically, per Step 1's motivating problem).</t>
        </is>
      </c>
    </row>
    <row r="9" ht="8" customHeight="1">
      <c r="A9" s="21" t="inlineStr"/>
    </row>
    <row r="10" ht="30" customHeight="1">
      <c r="A10" s="21" t="inlineStr">
        <is>
          <t>The 'AUC (fold-mean, reference only)' column on tab 2 will NOT exactly match the pooled Overall AUC on tab 1 for the same combo -- they are different estimators computed from different data groupings. Small differences (a few points) are expected and not an error; always cite the pooled figure from tab 1 as the primary result.</t>
        </is>
      </c>
    </row>
    <row r="11" ht="8" customHeight="1">
      <c r="A11" s="21" t="inlineStr"/>
    </row>
    <row r="12" ht="30" customHeight="1">
      <c r="A12" s="22" t="inlineStr">
        <is>
          <t>GATE 8 (precision) failed for all 18 combos (median CI half-width 0.143 vs a 0.12 target) -- still real and useful data, but treat AUC differences between combos smaller than roughly 0.14 as not reliably distinguishable from noise.</t>
        </is>
      </c>
    </row>
    <row r="13" ht="8" customHeight="1">
      <c r="A13" s="21" t="inlineStr"/>
    </row>
    <row r="14" ht="30" customHeight="1">
      <c r="A14" s="21" t="inlineStr">
        <is>
          <t>Source files: classification/step1_cv_harness/outputs/baseline/step1_baseline.json (pooled AUC + gates), and each combo's own outputs/{combo}/fold_metrics.csv (fold-averaged classification metrics).</t>
        </is>
      </c>
    </row>
  </sheetData>
  <mergeCells count="12">
    <mergeCell ref="A5:J5"/>
    <mergeCell ref="A8:J8"/>
    <mergeCell ref="A14:J14"/>
    <mergeCell ref="A6:J6"/>
    <mergeCell ref="A9:J9"/>
    <mergeCell ref="A3:J3"/>
    <mergeCell ref="A12:J12"/>
    <mergeCell ref="A4:J4"/>
    <mergeCell ref="A7:J7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2026-08-08T22:13:18Z</dcterms:created>
  <dcterms:modified xmlns:dcterms="http://purl.org/dc/terms/" xmlns:xsi="http://www.w3.org/2001/XMLSchema-instance" xsi:type="dcterms:W3CDTF">2026-08-08T22:13:18Z</dcterms:modified>
</cp:coreProperties>
</file>