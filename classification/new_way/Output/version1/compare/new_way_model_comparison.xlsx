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ountry Detail" sheetId="2" state="visible" r:id="rId2"/>
    <sheet xmlns:r="http://schemas.openxmlformats.org/officeDocument/2006/relationships" name="Hyperparameters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'Summary'!$A$4:$U$20</definedName>
    <definedName name="_xlnm._FilterDatabase" localSheetId="1" hidden="1">'Per-Country Detail'!$A$4:$T$20</definedName>
    <definedName name="_xlnm._FilterDatabase" localSheetId="2" hidden="1">'Hyperparameters'!$A$4:$H$20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9" customWidth="1" min="4" max="4"/>
    <col width="9" customWidth="1" min="5" max="5"/>
    <col width="11" customWidth="1" min="6" max="6"/>
    <col width="9" customWidth="1" min="7" max="7"/>
    <col width="11" customWidth="1" min="8" max="8"/>
    <col width="13" customWidth="1" min="9" max="9"/>
    <col width="13" customWidth="1" min="10" max="10"/>
    <col width="12" customWidth="1" min="11" max="11"/>
    <col width="8" customWidth="1" min="12" max="12"/>
    <col width="9" customWidth="1" min="13" max="13"/>
    <col width="9" customWidth="1" min="14" max="14"/>
    <col width="9" customWidth="1" min="15" max="15"/>
    <col width="10" customWidth="1" min="16" max="16"/>
    <col width="15" customWidth="1" min="17" max="17"/>
    <col width="8" customWidth="1" min="18" max="18"/>
    <col width="11" customWidth="1" min="19" max="19"/>
    <col width="11" customWidth="1" min="20" max="20"/>
    <col width="15" customWidth="1" min="21" max="21"/>
  </cols>
  <sheetData>
    <row r="1">
      <c r="A1" s="1" t="inlineStr">
        <is>
          <t>new_way/ -- 16-Combo Model Comparison</t>
        </is>
      </c>
    </row>
    <row r="2">
      <c r="A2" s="2" t="inlineStr">
        <is>
          <t>8 architectures (5 CNN + 3 Hybrid) x 2 tissue types, 12-trial Optuna search each. Source: classification/new_way/Output/logs/*_study_summary.json (Kaggle run committed 2026-08-11).</t>
        </is>
      </c>
    </row>
    <row r="4">
      <c r="A4" s="3" t="inlineStr">
        <is>
          <t>Rank</t>
        </is>
      </c>
      <c r="B4" s="3" t="inlineStr">
        <is>
          <t>Model</t>
        </is>
      </c>
      <c r="C4" s="3" t="inlineStr">
        <is>
          <t>Tissue Type</t>
        </is>
      </c>
      <c r="D4" s="3" t="inlineStr">
        <is>
          <t>Family</t>
        </is>
      </c>
      <c r="E4" s="3" t="inlineStr">
        <is>
          <t>Tier</t>
        </is>
      </c>
      <c r="F4" s="3" t="inlineStr">
        <is>
          <t>Params (M)</t>
        </is>
      </c>
      <c r="G4" s="3" t="inlineStr">
        <is>
          <t>N Trials</t>
        </is>
      </c>
      <c r="H4" s="3" t="inlineStr">
        <is>
          <t>Best Trial #</t>
        </is>
      </c>
      <c r="I4" s="3" t="inlineStr">
        <is>
          <t>Learning Rate</t>
        </is>
      </c>
      <c r="J4" s="3" t="inlineStr">
        <is>
          <t>Weight Decay</t>
        </is>
      </c>
      <c r="K4" s="3" t="inlineStr">
        <is>
          <t>Dropout Rate</t>
        </is>
      </c>
      <c r="L4" s="3" t="inlineStr">
        <is>
          <t>F1</t>
        </is>
      </c>
      <c r="M4" s="3" t="inlineStr">
        <is>
          <t>Accuracy</t>
        </is>
      </c>
      <c r="N4" s="3" t="inlineStr">
        <is>
          <t>Precision</t>
        </is>
      </c>
      <c r="O4" s="3" t="inlineStr">
        <is>
          <t>Recall</t>
        </is>
      </c>
      <c r="P4" s="3" t="inlineStr">
        <is>
          <t>Specificity</t>
        </is>
      </c>
      <c r="Q4" s="3" t="inlineStr">
        <is>
          <t>Balanced Accuracy</t>
        </is>
      </c>
      <c r="R4" s="3" t="inlineStr">
        <is>
          <t>AUC</t>
        </is>
      </c>
      <c r="S4" s="3" t="inlineStr">
        <is>
          <t>AUC (India)</t>
        </is>
      </c>
      <c r="T4" s="3" t="inlineStr">
        <is>
          <t>AUC (Italy)</t>
        </is>
      </c>
      <c r="U4" s="3" t="inlineStr">
        <is>
          <t>India/Italy AUC Gap</t>
        </is>
      </c>
    </row>
    <row r="5">
      <c r="A5" s="4">
        <f>RANK(L5,$L$5:$L$20,0)</f>
        <v/>
      </c>
      <c r="B5" s="5" t="inlineStr">
        <is>
          <t>convnext_base_palpebral_new_way</t>
        </is>
      </c>
      <c r="C5" s="5" t="inlineStr">
        <is>
          <t>palpebral</t>
        </is>
      </c>
      <c r="D5" s="4" t="inlineStr">
        <is>
          <t>CNN</t>
        </is>
      </c>
      <c r="E5" s="4" t="inlineStr">
        <is>
          <t>Medium</t>
        </is>
      </c>
      <c r="F5" s="6" t="n">
        <v>88.59</v>
      </c>
      <c r="G5" s="4" t="n">
        <v>12</v>
      </c>
      <c r="H5" s="4" t="n">
        <v>5</v>
      </c>
      <c r="I5" s="7" t="n">
        <v>0.0001235308191492332</v>
      </c>
      <c r="J5" s="7" t="n">
        <v>1.042297146664846e-06</v>
      </c>
      <c r="K5" s="6" t="n">
        <v>0.5</v>
      </c>
      <c r="L5" s="8" t="n">
        <v>0.9333333333333333</v>
      </c>
      <c r="M5" s="8" t="n">
        <v>0.9393939393939394</v>
      </c>
      <c r="N5" s="8" t="n">
        <v>0.875</v>
      </c>
      <c r="O5" s="8" t="n">
        <v>1</v>
      </c>
      <c r="P5" s="8" t="n">
        <v>0.8947368421052632</v>
      </c>
      <c r="Q5" s="8" t="n">
        <v>0.9473684210526316</v>
      </c>
      <c r="R5" s="8" t="n">
        <v>0.9699248120300752</v>
      </c>
      <c r="S5" s="8" t="n">
        <v>1</v>
      </c>
      <c r="T5" s="8" t="n">
        <v>0.9500000000000001</v>
      </c>
      <c r="U5" s="8">
        <f>ABS(S5-T5)</f>
        <v/>
      </c>
    </row>
    <row r="6">
      <c r="A6" s="4">
        <f>RANK(L6,$L$5:$L$20,0)</f>
        <v/>
      </c>
      <c r="B6" s="5" t="inlineStr">
        <is>
          <t>convnext_large_palpebral_new_way</t>
        </is>
      </c>
      <c r="C6" s="5" t="inlineStr">
        <is>
          <t>palpebral</t>
        </is>
      </c>
      <c r="D6" s="4" t="inlineStr">
        <is>
          <t>CNN</t>
        </is>
      </c>
      <c r="E6" s="4" t="inlineStr">
        <is>
          <t>Heavy</t>
        </is>
      </c>
      <c r="F6" s="6" t="n">
        <v>197.77</v>
      </c>
      <c r="G6" s="4" t="n">
        <v>12</v>
      </c>
      <c r="H6" s="4" t="n">
        <v>7</v>
      </c>
      <c r="I6" s="7" t="n">
        <v>0.0001113741490829351</v>
      </c>
      <c r="J6" s="7" t="n">
        <v>2.205928214697931e-05</v>
      </c>
      <c r="K6" s="6" t="n">
        <v>0.2</v>
      </c>
      <c r="L6" s="8" t="n">
        <v>0.9333333333333333</v>
      </c>
      <c r="M6" s="8" t="n">
        <v>0.9393939393939394</v>
      </c>
      <c r="N6" s="8" t="n">
        <v>0.875</v>
      </c>
      <c r="O6" s="8" t="n">
        <v>1</v>
      </c>
      <c r="P6" s="8" t="n">
        <v>0.8947368421052632</v>
      </c>
      <c r="Q6" s="8" t="n">
        <v>0.9473684210526316</v>
      </c>
      <c r="R6" s="8" t="n">
        <v>0.9586466165413534</v>
      </c>
      <c r="S6" s="8" t="n">
        <v>0.975</v>
      </c>
      <c r="T6" s="8" t="n">
        <v>0.9333333333333333</v>
      </c>
      <c r="U6" s="8">
        <f>ABS(S6-T6)</f>
        <v/>
      </c>
    </row>
    <row r="7">
      <c r="A7" s="4">
        <f>RANK(L7,$L$5:$L$20,0)</f>
        <v/>
      </c>
      <c r="B7" s="5" t="inlineStr">
        <is>
          <t>coatnet_3_palpebral_new_way</t>
        </is>
      </c>
      <c r="C7" s="5" t="inlineStr">
        <is>
          <t>palpebral</t>
        </is>
      </c>
      <c r="D7" s="4" t="inlineStr">
        <is>
          <t>Hybrid</t>
        </is>
      </c>
      <c r="E7" s="4" t="inlineStr">
        <is>
          <t>Heavy</t>
        </is>
      </c>
      <c r="F7" s="6" t="n">
        <v>163.64</v>
      </c>
      <c r="G7" s="4" t="n">
        <v>12</v>
      </c>
      <c r="H7" s="4" t="n">
        <v>9</v>
      </c>
      <c r="I7" s="7" t="n">
        <v>0.001124943613008529</v>
      </c>
      <c r="J7" s="7" t="n">
        <v>0.0001185673711203719</v>
      </c>
      <c r="K7" s="6" t="n">
        <v>0.2</v>
      </c>
      <c r="L7" s="8" t="n">
        <v>0.896551724137931</v>
      </c>
      <c r="M7" s="8" t="n">
        <v>0.9090909090909091</v>
      </c>
      <c r="N7" s="8" t="n">
        <v>0.8666666666666667</v>
      </c>
      <c r="O7" s="8" t="n">
        <v>0.9285714285714286</v>
      </c>
      <c r="P7" s="8" t="n">
        <v>0.8947368421052632</v>
      </c>
      <c r="Q7" s="8" t="n">
        <v>0.9116541353383458</v>
      </c>
      <c r="R7" s="8" t="n">
        <v>0.9661654135338347</v>
      </c>
      <c r="S7" s="8" t="n">
        <v>0.9</v>
      </c>
      <c r="T7" s="8" t="n">
        <v>0.9666666666666667</v>
      </c>
      <c r="U7" s="8">
        <f>ABS(S7-T7)</f>
        <v/>
      </c>
    </row>
    <row r="8">
      <c r="A8" s="4">
        <f>RANK(L8,$L$5:$L$20,0)</f>
        <v/>
      </c>
      <c r="B8" s="5" t="inlineStr">
        <is>
          <t>efficientnet_b3_forniceal_palpebral_new_way</t>
        </is>
      </c>
      <c r="C8" s="5" t="inlineStr">
        <is>
          <t>forniceal_palpebral</t>
        </is>
      </c>
      <c r="D8" s="4" t="inlineStr">
        <is>
          <t>CNN</t>
        </is>
      </c>
      <c r="E8" s="4" t="inlineStr">
        <is>
          <t>Light</t>
        </is>
      </c>
      <c r="F8" s="6" t="n">
        <v>12.23</v>
      </c>
      <c r="G8" s="4" t="n">
        <v>12</v>
      </c>
      <c r="H8" s="4" t="n">
        <v>2</v>
      </c>
      <c r="I8" s="7" t="n">
        <v>0.006358358856676255</v>
      </c>
      <c r="J8" s="7" t="n">
        <v>0.000133112160807369</v>
      </c>
      <c r="K8" s="6" t="n">
        <v>0.5</v>
      </c>
      <c r="L8" s="8" t="n">
        <v>0.896551724137931</v>
      </c>
      <c r="M8" s="8" t="n">
        <v>0.9032258064516129</v>
      </c>
      <c r="N8" s="8" t="n">
        <v>0.8666666666666667</v>
      </c>
      <c r="O8" s="8" t="n">
        <v>0.9285714285714286</v>
      </c>
      <c r="P8" s="8" t="n">
        <v>0.8823529411764706</v>
      </c>
      <c r="Q8" s="8" t="n">
        <v>0.9054621848739496</v>
      </c>
      <c r="R8" s="8" t="n">
        <v>0.9033613445378151</v>
      </c>
      <c r="S8" s="8" t="n">
        <v>0.75</v>
      </c>
      <c r="T8" s="8" t="n">
        <v>0.9615384615384616</v>
      </c>
      <c r="U8" s="8">
        <f>ABS(S8-T8)</f>
        <v/>
      </c>
    </row>
    <row r="9">
      <c r="A9" s="4">
        <f>RANK(L9,$L$5:$L$20,0)</f>
        <v/>
      </c>
      <c r="B9" s="5" t="inlineStr">
        <is>
          <t>maxvit_t_palpebral_new_way</t>
        </is>
      </c>
      <c r="C9" s="5" t="inlineStr">
        <is>
          <t>palpebral</t>
        </is>
      </c>
      <c r="D9" s="4" t="inlineStr">
        <is>
          <t>Hybrid</t>
        </is>
      </c>
      <c r="E9" s="4" t="inlineStr">
        <is>
          <t>Light</t>
        </is>
      </c>
      <c r="F9" s="6" t="n">
        <v>30.92</v>
      </c>
      <c r="G9" s="4" t="n">
        <v>12</v>
      </c>
      <c r="H9" s="4" t="n">
        <v>4</v>
      </c>
      <c r="I9" s="7" t="n">
        <v>0.0008179499475211679</v>
      </c>
      <c r="J9" s="7" t="n">
        <v>3.752055855124284e-05</v>
      </c>
      <c r="K9" s="6" t="n">
        <v>0.2</v>
      </c>
      <c r="L9" s="8" t="n">
        <v>0.875</v>
      </c>
      <c r="M9" s="8" t="n">
        <v>0.8787878787878788</v>
      </c>
      <c r="N9" s="8" t="n">
        <v>0.7777777777777778</v>
      </c>
      <c r="O9" s="8" t="n">
        <v>1</v>
      </c>
      <c r="P9" s="8" t="n">
        <v>0.7894736842105263</v>
      </c>
      <c r="Q9" s="8" t="n">
        <v>0.8947368421052632</v>
      </c>
      <c r="R9" s="8" t="n">
        <v>0.8834586466165414</v>
      </c>
      <c r="S9" s="8" t="n">
        <v>0.6</v>
      </c>
      <c r="T9" s="8" t="n">
        <v>0.9666666666666667</v>
      </c>
      <c r="U9" s="8">
        <f>ABS(S9-T9)</f>
        <v/>
      </c>
    </row>
    <row r="10">
      <c r="A10" s="4">
        <f>RANK(L10,$L$5:$L$20,0)</f>
        <v/>
      </c>
      <c r="B10" s="5" t="inlineStr">
        <is>
          <t>regnet_y_16gf_palpebral_new_way</t>
        </is>
      </c>
      <c r="C10" s="5" t="inlineStr">
        <is>
          <t>palpebral</t>
        </is>
      </c>
      <c r="D10" s="4" t="inlineStr">
        <is>
          <t>CNN</t>
        </is>
      </c>
      <c r="E10" s="4" t="inlineStr">
        <is>
          <t>Medium</t>
        </is>
      </c>
      <c r="F10" s="6" t="n">
        <v>83.59</v>
      </c>
      <c r="G10" s="4" t="n">
        <v>12</v>
      </c>
      <c r="H10" s="4" t="n">
        <v>8</v>
      </c>
      <c r="I10" s="7" t="n">
        <v>0.006464900601177843</v>
      </c>
      <c r="J10" s="7" t="n">
        <v>1.217404417807552e-06</v>
      </c>
      <c r="K10" s="6" t="n">
        <v>0.2</v>
      </c>
      <c r="L10" s="8" t="n">
        <v>0.8666666666666667</v>
      </c>
      <c r="M10" s="8" t="n">
        <v>0.8787878787878788</v>
      </c>
      <c r="N10" s="8" t="n">
        <v>0.8125</v>
      </c>
      <c r="O10" s="8" t="n">
        <v>0.9285714285714286</v>
      </c>
      <c r="P10" s="8" t="n">
        <v>0.8421052631578947</v>
      </c>
      <c r="Q10" s="8" t="n">
        <v>0.8853383458646616</v>
      </c>
      <c r="R10" s="8" t="n">
        <v>0.8984962406015037</v>
      </c>
      <c r="S10" s="8" t="n">
        <v>0.8</v>
      </c>
      <c r="T10" s="8" t="n">
        <v>0.9</v>
      </c>
      <c r="U10" s="8">
        <f>ABS(S10-T10)</f>
        <v/>
      </c>
    </row>
    <row r="11">
      <c r="A11" s="4">
        <f>RANK(L11,$L$5:$L$20,0)</f>
        <v/>
      </c>
      <c r="B11" s="5" t="inlineStr">
        <is>
          <t>efficientnet_b4_palpebral_new_way</t>
        </is>
      </c>
      <c r="C11" s="5" t="inlineStr">
        <is>
          <t>palpebral</t>
        </is>
      </c>
      <c r="D11" s="4" t="inlineStr">
        <is>
          <t>CNN</t>
        </is>
      </c>
      <c r="E11" s="4" t="inlineStr">
        <is>
          <t>Light</t>
        </is>
      </c>
      <c r="F11" s="6" t="n">
        <v>19.34</v>
      </c>
      <c r="G11" s="4" t="n">
        <v>12</v>
      </c>
      <c r="H11" s="4" t="n">
        <v>5</v>
      </c>
      <c r="I11" s="7" t="n">
        <v>0.0001235308191492332</v>
      </c>
      <c r="J11" s="7" t="n">
        <v>1.042297146664846e-06</v>
      </c>
      <c r="K11" s="6" t="n">
        <v>0.5</v>
      </c>
      <c r="L11" s="8" t="n">
        <v>0.8571428571428571</v>
      </c>
      <c r="M11" s="8" t="n">
        <v>0.8787878787878788</v>
      </c>
      <c r="N11" s="8" t="n">
        <v>0.8571428571428571</v>
      </c>
      <c r="O11" s="8" t="n">
        <v>0.8571428571428571</v>
      </c>
      <c r="P11" s="8" t="n">
        <v>0.8947368421052632</v>
      </c>
      <c r="Q11" s="8" t="n">
        <v>0.8759398496240601</v>
      </c>
      <c r="R11" s="8" t="n">
        <v>0.887218045112782</v>
      </c>
      <c r="S11" s="8" t="n">
        <v>0.8</v>
      </c>
      <c r="T11" s="8" t="n">
        <v>0.8500000000000001</v>
      </c>
      <c r="U11" s="8">
        <f>ABS(S11-T11)</f>
        <v/>
      </c>
    </row>
    <row r="12">
      <c r="A12" s="4">
        <f>RANK(L12,$L$5:$L$20,0)</f>
        <v/>
      </c>
      <c r="B12" s="5" t="inlineStr">
        <is>
          <t>maxvit_small_palpebral_new_way</t>
        </is>
      </c>
      <c r="C12" s="5" t="inlineStr">
        <is>
          <t>palpebral</t>
        </is>
      </c>
      <c r="D12" s="4" t="inlineStr">
        <is>
          <t>Hybrid</t>
        </is>
      </c>
      <c r="E12" s="4" t="inlineStr">
        <is>
          <t>Medium</t>
        </is>
      </c>
      <c r="F12" s="6" t="n">
        <v>68.16</v>
      </c>
      <c r="G12" s="4" t="n">
        <v>12</v>
      </c>
      <c r="H12" s="4" t="n">
        <v>4</v>
      </c>
      <c r="I12" s="7" t="n">
        <v>0.0008179499475211679</v>
      </c>
      <c r="J12" s="7" t="n">
        <v>3.752055855124284e-05</v>
      </c>
      <c r="K12" s="6" t="n">
        <v>0.2</v>
      </c>
      <c r="L12" s="8" t="n">
        <v>0.8571428571428571</v>
      </c>
      <c r="M12" s="8" t="n">
        <v>0.8787878787878788</v>
      </c>
      <c r="N12" s="8" t="n">
        <v>0.8571428571428571</v>
      </c>
      <c r="O12" s="8" t="n">
        <v>0.8571428571428571</v>
      </c>
      <c r="P12" s="8" t="n">
        <v>0.8947368421052632</v>
      </c>
      <c r="Q12" s="8" t="n">
        <v>0.8759398496240601</v>
      </c>
      <c r="R12" s="8" t="n">
        <v>0.9097744360902256</v>
      </c>
      <c r="S12" s="8" t="n">
        <v>0.8250000000000001</v>
      </c>
      <c r="T12" s="8" t="n">
        <v>0.9333333333333333</v>
      </c>
      <c r="U12" s="8">
        <f>ABS(S12-T12)</f>
        <v/>
      </c>
    </row>
    <row r="13">
      <c r="A13" s="4">
        <f>RANK(L13,$L$5:$L$20,0)</f>
        <v/>
      </c>
      <c r="B13" s="5" t="inlineStr">
        <is>
          <t>coatnet_3_forniceal_palpebral_new_way</t>
        </is>
      </c>
      <c r="C13" s="5" t="inlineStr">
        <is>
          <t>forniceal_palpebral</t>
        </is>
      </c>
      <c r="D13" s="4" t="inlineStr">
        <is>
          <t>Hybrid</t>
        </is>
      </c>
      <c r="E13" s="4" t="inlineStr">
        <is>
          <t>Heavy</t>
        </is>
      </c>
      <c r="F13" s="6" t="n">
        <v>163.64</v>
      </c>
      <c r="G13" s="4" t="n">
        <v>12</v>
      </c>
      <c r="H13" s="4" t="n">
        <v>8</v>
      </c>
      <c r="I13" s="7" t="n">
        <v>0.008533716477932937</v>
      </c>
      <c r="J13" s="7" t="n">
        <v>1.217404417807552e-06</v>
      </c>
      <c r="K13" s="6" t="n">
        <v>0.2</v>
      </c>
      <c r="L13" s="8" t="n">
        <v>0.8</v>
      </c>
      <c r="M13" s="8" t="n">
        <v>0.7741935483870968</v>
      </c>
      <c r="N13" s="8" t="n">
        <v>0.6666666666666666</v>
      </c>
      <c r="O13" s="8" t="n">
        <v>1</v>
      </c>
      <c r="P13" s="8" t="n">
        <v>0.5882352941176471</v>
      </c>
      <c r="Q13" s="8" t="n">
        <v>0.7941176470588236</v>
      </c>
      <c r="R13" s="8" t="n">
        <v>0.7773109243697479</v>
      </c>
      <c r="S13" s="8" t="n">
        <v>0.475</v>
      </c>
      <c r="T13" s="8" t="n">
        <v>0.8846153846153846</v>
      </c>
      <c r="U13" s="8">
        <f>ABS(S13-T13)</f>
        <v/>
      </c>
    </row>
    <row r="14">
      <c r="A14" s="4">
        <f>RANK(L14,$L$5:$L$20,0)</f>
        <v/>
      </c>
      <c r="B14" s="5" t="inlineStr">
        <is>
          <t>efficientnet_b4_forniceal_palpebral_new_way</t>
        </is>
      </c>
      <c r="C14" s="5" t="inlineStr">
        <is>
          <t>forniceal_palpebral</t>
        </is>
      </c>
      <c r="D14" s="4" t="inlineStr">
        <is>
          <t>CNN</t>
        </is>
      </c>
      <c r="E14" s="4" t="inlineStr">
        <is>
          <t>Light</t>
        </is>
      </c>
      <c r="F14" s="6" t="n">
        <v>19.34</v>
      </c>
      <c r="G14" s="4" t="n">
        <v>12</v>
      </c>
      <c r="H14" s="4" t="n">
        <v>4</v>
      </c>
      <c r="I14" s="7" t="n">
        <v>0.0008179499475211679</v>
      </c>
      <c r="J14" s="7" t="n">
        <v>3.752055855124284e-05</v>
      </c>
      <c r="K14" s="6" t="n">
        <v>0.2</v>
      </c>
      <c r="L14" s="8" t="n">
        <v>0.7857142857142857</v>
      </c>
      <c r="M14" s="8" t="n">
        <v>0.8064516129032258</v>
      </c>
      <c r="N14" s="8" t="n">
        <v>0.7857142857142857</v>
      </c>
      <c r="O14" s="8" t="n">
        <v>0.7857142857142857</v>
      </c>
      <c r="P14" s="8" t="n">
        <v>0.8235294117647058</v>
      </c>
      <c r="Q14" s="8" t="n">
        <v>0.8046218487394958</v>
      </c>
      <c r="R14" s="8" t="n">
        <v>0.8025210084033613</v>
      </c>
      <c r="S14" s="8" t="n">
        <v>0.475</v>
      </c>
      <c r="T14" s="8" t="n">
        <v>0.9807692307692308</v>
      </c>
      <c r="U14" s="8">
        <f>ABS(S14-T14)</f>
        <v/>
      </c>
    </row>
    <row r="15">
      <c r="A15" s="4">
        <f>RANK(L15,$L$5:$L$20,0)</f>
        <v/>
      </c>
      <c r="B15" s="5" t="inlineStr">
        <is>
          <t>convnext_base_forniceal_palpebral_new_way</t>
        </is>
      </c>
      <c r="C15" s="5" t="inlineStr">
        <is>
          <t>forniceal_palpebral</t>
        </is>
      </c>
      <c r="D15" s="4" t="inlineStr">
        <is>
          <t>CNN</t>
        </is>
      </c>
      <c r="E15" s="4" t="inlineStr">
        <is>
          <t>Medium</t>
        </is>
      </c>
      <c r="F15" s="6" t="n">
        <v>88.59</v>
      </c>
      <c r="G15" s="4" t="n">
        <v>12</v>
      </c>
      <c r="H15" s="4" t="n">
        <v>5</v>
      </c>
      <c r="I15" s="7" t="n">
        <v>0.08088564223049027</v>
      </c>
      <c r="J15" s="7" t="n">
        <v>1.042297146664846e-06</v>
      </c>
      <c r="K15" s="6" t="n">
        <v>0.5</v>
      </c>
      <c r="L15" s="8" t="n">
        <v>0.7586206896551724</v>
      </c>
      <c r="M15" s="8" t="n">
        <v>0.7741935483870968</v>
      </c>
      <c r="N15" s="8" t="n">
        <v>0.7333333333333333</v>
      </c>
      <c r="O15" s="8" t="n">
        <v>0.7857142857142857</v>
      </c>
      <c r="P15" s="8" t="n">
        <v>0.7647058823529411</v>
      </c>
      <c r="Q15" s="8" t="n">
        <v>0.7752100840336134</v>
      </c>
      <c r="R15" s="8" t="n">
        <v>0.8109243697478992</v>
      </c>
      <c r="S15" s="8" t="n">
        <v>0.6749999999999999</v>
      </c>
      <c r="T15" s="8" t="n">
        <v>0.9038461538461539</v>
      </c>
      <c r="U15" s="8">
        <f>ABS(S15-T15)</f>
        <v/>
      </c>
    </row>
    <row r="16">
      <c r="A16" s="4">
        <f>RANK(L16,$L$5:$L$20,0)</f>
        <v/>
      </c>
      <c r="B16" s="5" t="inlineStr">
        <is>
          <t>regnet_y_16gf_forniceal_palpebral_new_way</t>
        </is>
      </c>
      <c r="C16" s="5" t="inlineStr">
        <is>
          <t>forniceal_palpebral</t>
        </is>
      </c>
      <c r="D16" s="4" t="inlineStr">
        <is>
          <t>CNN</t>
        </is>
      </c>
      <c r="E16" s="4" t="inlineStr">
        <is>
          <t>Medium</t>
        </is>
      </c>
      <c r="F16" s="6" t="n">
        <v>83.59</v>
      </c>
      <c r="G16" s="4" t="n">
        <v>12</v>
      </c>
      <c r="H16" s="4" t="n">
        <v>1</v>
      </c>
      <c r="I16" s="7" t="n">
        <v>0.0002938027938703536</v>
      </c>
      <c r="J16" s="7" t="n">
        <v>2.937538457632831e-06</v>
      </c>
      <c r="K16" s="6" t="n">
        <v>0.5</v>
      </c>
      <c r="L16" s="8" t="n">
        <v>0.75</v>
      </c>
      <c r="M16" s="8" t="n">
        <v>0.7419354838709677</v>
      </c>
      <c r="N16" s="8" t="n">
        <v>0.6666666666666666</v>
      </c>
      <c r="O16" s="8" t="n">
        <v>0.8571428571428571</v>
      </c>
      <c r="P16" s="8" t="n">
        <v>0.6470588235294118</v>
      </c>
      <c r="Q16" s="8" t="n">
        <v>0.7521008403361344</v>
      </c>
      <c r="R16" s="8" t="n">
        <v>0.7773109243697478</v>
      </c>
      <c r="S16" s="8" t="n">
        <v>0.475</v>
      </c>
      <c r="T16" s="8" t="n">
        <v>0.9615384615384616</v>
      </c>
      <c r="U16" s="8">
        <f>ABS(S16-T16)</f>
        <v/>
      </c>
    </row>
    <row r="17">
      <c r="A17" s="4">
        <f>RANK(L17,$L$5:$L$20,0)</f>
        <v/>
      </c>
      <c r="B17" s="5" t="inlineStr">
        <is>
          <t>maxvit_t_forniceal_palpebral_new_way</t>
        </is>
      </c>
      <c r="C17" s="5" t="inlineStr">
        <is>
          <t>forniceal_palpebral</t>
        </is>
      </c>
      <c r="D17" s="4" t="inlineStr">
        <is>
          <t>Hybrid</t>
        </is>
      </c>
      <c r="E17" s="4" t="inlineStr">
        <is>
          <t>Light</t>
        </is>
      </c>
      <c r="F17" s="6" t="n">
        <v>30.92</v>
      </c>
      <c r="G17" s="4" t="n">
        <v>12</v>
      </c>
      <c r="H17" s="4" t="n">
        <v>2</v>
      </c>
      <c r="I17" s="7" t="n">
        <v>0.006358358856676255</v>
      </c>
      <c r="J17" s="7" t="n">
        <v>0.000133112160807369</v>
      </c>
      <c r="K17" s="6" t="n">
        <v>0.5</v>
      </c>
      <c r="L17" s="8" t="n">
        <v>0.7428571428571429</v>
      </c>
      <c r="M17" s="8" t="n">
        <v>0.7096774193548387</v>
      </c>
      <c r="N17" s="8" t="n">
        <v>0.6190476190476191</v>
      </c>
      <c r="O17" s="8" t="n">
        <v>0.9285714285714286</v>
      </c>
      <c r="P17" s="8" t="n">
        <v>0.5294117647058824</v>
      </c>
      <c r="Q17" s="8" t="n">
        <v>0.7289915966386555</v>
      </c>
      <c r="R17" s="8" t="n">
        <v>0.7058823529411764</v>
      </c>
      <c r="S17" s="8" t="n">
        <v>0.6</v>
      </c>
      <c r="T17" s="8" t="n">
        <v>0.6730769230769231</v>
      </c>
      <c r="U17" s="8">
        <f>ABS(S17-T17)</f>
        <v/>
      </c>
    </row>
    <row r="18">
      <c r="A18" s="4">
        <f>RANK(L18,$L$5:$L$20,0)</f>
        <v/>
      </c>
      <c r="B18" s="5" t="inlineStr">
        <is>
          <t>efficientnet_b3_palpebral_new_way</t>
        </is>
      </c>
      <c r="C18" s="5" t="inlineStr">
        <is>
          <t>palpebral</t>
        </is>
      </c>
      <c r="D18" s="4" t="inlineStr">
        <is>
          <t>CNN</t>
        </is>
      </c>
      <c r="E18" s="4" t="inlineStr">
        <is>
          <t>Light</t>
        </is>
      </c>
      <c r="F18" s="6" t="n">
        <v>12.23</v>
      </c>
      <c r="G18" s="4" t="n">
        <v>12</v>
      </c>
      <c r="H18" s="4" t="n">
        <v>6</v>
      </c>
      <c r="I18" s="7" t="n">
        <v>0.002691422871453577</v>
      </c>
      <c r="J18" s="7" t="n">
        <v>0.0008513157404824219</v>
      </c>
      <c r="K18" s="6" t="n">
        <v>0.2</v>
      </c>
      <c r="L18" s="8" t="n">
        <v>0.72</v>
      </c>
      <c r="M18" s="8" t="n">
        <v>0.7878787878787878</v>
      </c>
      <c r="N18" s="8" t="n">
        <v>0.8181818181818182</v>
      </c>
      <c r="O18" s="8" t="n">
        <v>0.6428571428571429</v>
      </c>
      <c r="P18" s="8" t="n">
        <v>0.8947368421052632</v>
      </c>
      <c r="Q18" s="8" t="n">
        <v>0.768796992481203</v>
      </c>
      <c r="R18" s="8" t="n">
        <v>0.8157894736842105</v>
      </c>
      <c r="S18" s="8" t="n">
        <v>0.625</v>
      </c>
      <c r="T18" s="8" t="n">
        <v>0.9333333333333333</v>
      </c>
      <c r="U18" s="8">
        <f>ABS(S18-T18)</f>
        <v/>
      </c>
    </row>
    <row r="19">
      <c r="A19" s="4">
        <f>RANK(L19,$L$5:$L$20,0)</f>
        <v/>
      </c>
      <c r="B19" s="5" t="inlineStr">
        <is>
          <t>maxvit_small_forniceal_palpebral_new_way</t>
        </is>
      </c>
      <c r="C19" s="5" t="inlineStr">
        <is>
          <t>forniceal_palpebral</t>
        </is>
      </c>
      <c r="D19" s="4" t="inlineStr">
        <is>
          <t>Hybrid</t>
        </is>
      </c>
      <c r="E19" s="4" t="inlineStr">
        <is>
          <t>Medium</t>
        </is>
      </c>
      <c r="F19" s="6" t="n">
        <v>68.16</v>
      </c>
      <c r="G19" s="4" t="n">
        <v>12</v>
      </c>
      <c r="H19" s="4" t="n">
        <v>4</v>
      </c>
      <c r="I19" s="7" t="n">
        <v>0.0008179499475211679</v>
      </c>
      <c r="J19" s="7" t="n">
        <v>3.752055855124284e-05</v>
      </c>
      <c r="K19" s="6" t="n">
        <v>0.2</v>
      </c>
      <c r="L19" s="8" t="n">
        <v>0.72</v>
      </c>
      <c r="M19" s="8" t="n">
        <v>0.7741935483870968</v>
      </c>
      <c r="N19" s="8" t="n">
        <v>0.8181818181818182</v>
      </c>
      <c r="O19" s="8" t="n">
        <v>0.6428571428571429</v>
      </c>
      <c r="P19" s="8" t="n">
        <v>0.8823529411764706</v>
      </c>
      <c r="Q19" s="8" t="n">
        <v>0.7626050420168067</v>
      </c>
      <c r="R19" s="8" t="n">
        <v>0.680672268907563</v>
      </c>
      <c r="S19" s="8" t="n">
        <v>0.575</v>
      </c>
      <c r="T19" s="8" t="n">
        <v>0.8846153846153846</v>
      </c>
      <c r="U19" s="8">
        <f>ABS(S19-T19)</f>
        <v/>
      </c>
    </row>
    <row r="20">
      <c r="A20" s="9">
        <f>RANK(L20,$L$5:$L$20,0)</f>
        <v/>
      </c>
      <c r="B20" s="10" t="inlineStr">
        <is>
          <t>convnext_large_forniceal_palpebral_new_way</t>
        </is>
      </c>
      <c r="C20" s="10" t="inlineStr">
        <is>
          <t>forniceal_palpebral</t>
        </is>
      </c>
      <c r="D20" s="9" t="inlineStr">
        <is>
          <t>CNN</t>
        </is>
      </c>
      <c r="E20" s="9" t="inlineStr">
        <is>
          <t>Heavy</t>
        </is>
      </c>
      <c r="F20" s="11" t="n">
        <v>197.77</v>
      </c>
      <c r="G20" s="9" t="n">
        <v>12</v>
      </c>
      <c r="H20" s="9" t="n">
        <v>0</v>
      </c>
      <c r="I20" s="12" t="n">
        <v>0.001329291894316217</v>
      </c>
      <c r="J20" s="12" t="n">
        <v>0.0007114476009343421</v>
      </c>
      <c r="K20" s="11" t="n">
        <v>0.2</v>
      </c>
      <c r="L20" s="13" t="n">
        <v>0.6666666666666666</v>
      </c>
      <c r="M20" s="13" t="n">
        <v>0.5483870967741935</v>
      </c>
      <c r="N20" s="13" t="n">
        <v>0.5</v>
      </c>
      <c r="O20" s="13" t="n">
        <v>1</v>
      </c>
      <c r="P20" s="13" t="n">
        <v>0.1764705882352941</v>
      </c>
      <c r="Q20" s="13" t="n">
        <v>0.5882352941176471</v>
      </c>
      <c r="R20" s="13" t="n">
        <v>0.6092436974789917</v>
      </c>
      <c r="S20" s="13" t="n">
        <v>0.675</v>
      </c>
      <c r="T20" s="13" t="n">
        <v>0.7692307692307692</v>
      </c>
      <c r="U20" s="13">
        <f>ABS(S20-T20)</f>
        <v/>
      </c>
    </row>
    <row r="22">
      <c r="A22" s="2" t="inlineStr">
        <is>
          <t>Row highlighted red: best trial = trial 0 (no improvement across the other 11 trials), accuracy 0.548 -- looks collapsed, not just weak. See 08_new_way_architecture_roster.md §8 before citing.</t>
        </is>
      </c>
    </row>
  </sheetData>
  <autoFilter ref="A4:U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Per-Country Stratified Metrics (India vs. Italy)</t>
        </is>
      </c>
    </row>
    <row r="2">
      <c r="A2" s="2" t="inlineStr">
        <is>
          <t>Same 16 combos as Summary. n = validation patients in that country's slice.</t>
        </is>
      </c>
    </row>
    <row r="4">
      <c r="A4" s="3" t="inlineStr">
        <is>
          <t>Model</t>
        </is>
      </c>
      <c r="B4" s="3" t="inlineStr">
        <is>
          <t>Tissue Type</t>
        </is>
      </c>
      <c r="C4" s="3" t="inlineStr">
        <is>
          <t>N (India)</t>
        </is>
      </c>
      <c r="D4" s="3" t="inlineStr">
        <is>
          <t>Accuracy (India)</t>
        </is>
      </c>
      <c r="E4" s="3" t="inlineStr">
        <is>
          <t>Precision (India)</t>
        </is>
      </c>
      <c r="F4" s="3" t="inlineStr">
        <is>
          <t>Recall (India)</t>
        </is>
      </c>
      <c r="G4" s="3" t="inlineStr">
        <is>
          <t>Specificity (India)</t>
        </is>
      </c>
      <c r="H4" s="3" t="inlineStr">
        <is>
          <t>Balanced Acc (India)</t>
        </is>
      </c>
      <c r="I4" s="3" t="inlineStr">
        <is>
          <t>F1 (India)</t>
        </is>
      </c>
      <c r="J4" s="3" t="inlineStr">
        <is>
          <t>AUC (India)</t>
        </is>
      </c>
      <c r="K4" s="3" t="inlineStr">
        <is>
          <t>TN/FP/FN/TP (India)</t>
        </is>
      </c>
      <c r="L4" s="3" t="inlineStr">
        <is>
          <t>N (Italy)</t>
        </is>
      </c>
      <c r="M4" s="3" t="inlineStr">
        <is>
          <t>Accuracy (Italy)</t>
        </is>
      </c>
      <c r="N4" s="3" t="inlineStr">
        <is>
          <t>Precision (Italy)</t>
        </is>
      </c>
      <c r="O4" s="3" t="inlineStr">
        <is>
          <t>Recall (Italy)</t>
        </is>
      </c>
      <c r="P4" s="3" t="inlineStr">
        <is>
          <t>Specificity (Italy)</t>
        </is>
      </c>
      <c r="Q4" s="3" t="inlineStr">
        <is>
          <t>Balanced Acc (Italy)</t>
        </is>
      </c>
      <c r="R4" s="3" t="inlineStr">
        <is>
          <t>F1 (Italy)</t>
        </is>
      </c>
      <c r="S4" s="3" t="inlineStr">
        <is>
          <t>AUC (Italy)</t>
        </is>
      </c>
      <c r="T4" s="3" t="inlineStr">
        <is>
          <t>TN/FP/FN/TP (Italy)</t>
        </is>
      </c>
    </row>
    <row r="5">
      <c r="A5" s="5" t="inlineStr">
        <is>
          <t>convnext_base_palpebral_new_way</t>
        </is>
      </c>
      <c r="B5" s="5" t="inlineStr">
        <is>
          <t>palpebral</t>
        </is>
      </c>
      <c r="C5" s="5" t="n">
        <v>14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4" t="inlineStr">
        <is>
          <t>4/0/0/10</t>
        </is>
      </c>
      <c r="L5" s="4" t="n">
        <v>19</v>
      </c>
      <c r="M5" s="8" t="n">
        <v>0.8947368421052632</v>
      </c>
      <c r="N5" s="8" t="n">
        <v>0.6666666666666666</v>
      </c>
      <c r="O5" s="8" t="n">
        <v>1</v>
      </c>
      <c r="P5" s="8" t="n">
        <v>0.8666666666666667</v>
      </c>
      <c r="Q5" s="8" t="n">
        <v>0.9333333333333333</v>
      </c>
      <c r="R5" s="8" t="n">
        <v>0.8</v>
      </c>
      <c r="S5" s="8" t="n">
        <v>0.9500000000000001</v>
      </c>
      <c r="T5" s="4" t="inlineStr">
        <is>
          <t>13/2/0/4</t>
        </is>
      </c>
    </row>
    <row r="6">
      <c r="A6" s="5" t="inlineStr">
        <is>
          <t>convnext_large_palpebral_new_way</t>
        </is>
      </c>
      <c r="B6" s="5" t="inlineStr">
        <is>
          <t>palpebral</t>
        </is>
      </c>
      <c r="C6" s="5" t="n">
        <v>14</v>
      </c>
      <c r="D6" s="8" t="n">
        <v>0.9285714285714286</v>
      </c>
      <c r="E6" s="8" t="n">
        <v>0.9090909090909091</v>
      </c>
      <c r="F6" s="8" t="n">
        <v>1</v>
      </c>
      <c r="G6" s="8" t="n">
        <v>0.75</v>
      </c>
      <c r="H6" s="8" t="n">
        <v>0.875</v>
      </c>
      <c r="I6" s="8" t="n">
        <v>0.9523809523809523</v>
      </c>
      <c r="J6" s="8" t="n">
        <v>0.975</v>
      </c>
      <c r="K6" s="4" t="inlineStr">
        <is>
          <t>3/1/0/10</t>
        </is>
      </c>
      <c r="L6" s="4" t="n">
        <v>19</v>
      </c>
      <c r="M6" s="8" t="n">
        <v>0.9473684210526315</v>
      </c>
      <c r="N6" s="8" t="n">
        <v>0.8</v>
      </c>
      <c r="O6" s="8" t="n">
        <v>1</v>
      </c>
      <c r="P6" s="8" t="n">
        <v>0.9333333333333333</v>
      </c>
      <c r="Q6" s="8" t="n">
        <v>0.9666666666666667</v>
      </c>
      <c r="R6" s="8" t="n">
        <v>0.8888888888888888</v>
      </c>
      <c r="S6" s="8" t="n">
        <v>0.9333333333333333</v>
      </c>
      <c r="T6" s="4" t="inlineStr">
        <is>
          <t>14/1/0/4</t>
        </is>
      </c>
    </row>
    <row r="7">
      <c r="A7" s="5" t="inlineStr">
        <is>
          <t>coatnet_3_palpebral_new_way</t>
        </is>
      </c>
      <c r="B7" s="5" t="inlineStr">
        <is>
          <t>palpebral</t>
        </is>
      </c>
      <c r="C7" s="5" t="n">
        <v>14</v>
      </c>
      <c r="D7" s="8" t="n">
        <v>0.8571428571428571</v>
      </c>
      <c r="E7" s="8" t="n">
        <v>0.8333333333333334</v>
      </c>
      <c r="F7" s="8" t="n">
        <v>1</v>
      </c>
      <c r="G7" s="8" t="n">
        <v>0.5</v>
      </c>
      <c r="H7" s="8" t="n">
        <v>0.75</v>
      </c>
      <c r="I7" s="8" t="n">
        <v>0.9090909090909091</v>
      </c>
      <c r="J7" s="8" t="n">
        <v>0.9</v>
      </c>
      <c r="K7" s="4" t="inlineStr">
        <is>
          <t>2/2/0/10</t>
        </is>
      </c>
      <c r="L7" s="4" t="n">
        <v>19</v>
      </c>
      <c r="M7" s="8" t="n">
        <v>0.9473684210526315</v>
      </c>
      <c r="N7" s="8" t="n">
        <v>1</v>
      </c>
      <c r="O7" s="8" t="n">
        <v>0.75</v>
      </c>
      <c r="P7" s="8" t="n">
        <v>1</v>
      </c>
      <c r="Q7" s="8" t="n">
        <v>0.875</v>
      </c>
      <c r="R7" s="8" t="n">
        <v>0.8571428571428571</v>
      </c>
      <c r="S7" s="8" t="n">
        <v>0.9666666666666667</v>
      </c>
      <c r="T7" s="4" t="inlineStr">
        <is>
          <t>15/0/1/3</t>
        </is>
      </c>
    </row>
    <row r="8">
      <c r="A8" s="5" t="inlineStr">
        <is>
          <t>efficientnet_b3_forniceal_palpebral_new_way</t>
        </is>
      </c>
      <c r="B8" s="5" t="inlineStr">
        <is>
          <t>forniceal_palpebral</t>
        </is>
      </c>
      <c r="C8" s="5" t="n">
        <v>14</v>
      </c>
      <c r="D8" s="8" t="n">
        <v>0.8571428571428571</v>
      </c>
      <c r="E8" s="8" t="n">
        <v>0.9</v>
      </c>
      <c r="F8" s="8" t="n">
        <v>0.9</v>
      </c>
      <c r="G8" s="8" t="n">
        <v>0.75</v>
      </c>
      <c r="H8" s="8" t="n">
        <v>0.825</v>
      </c>
      <c r="I8" s="8" t="n">
        <v>0.9</v>
      </c>
      <c r="J8" s="8" t="n">
        <v>0.75</v>
      </c>
      <c r="K8" s="4" t="inlineStr">
        <is>
          <t>3/1/1/9</t>
        </is>
      </c>
      <c r="L8" s="4" t="n">
        <v>17</v>
      </c>
      <c r="M8" s="8" t="n">
        <v>0.9411764705882353</v>
      </c>
      <c r="N8" s="8" t="n">
        <v>0.8</v>
      </c>
      <c r="O8" s="8" t="n">
        <v>1</v>
      </c>
      <c r="P8" s="8" t="n">
        <v>0.9230769230769231</v>
      </c>
      <c r="Q8" s="8" t="n">
        <v>0.9615384615384616</v>
      </c>
      <c r="R8" s="8" t="n">
        <v>0.8888888888888888</v>
      </c>
      <c r="S8" s="8" t="n">
        <v>0.9615384615384616</v>
      </c>
      <c r="T8" s="4" t="inlineStr">
        <is>
          <t>12/1/0/4</t>
        </is>
      </c>
    </row>
    <row r="9">
      <c r="A9" s="5" t="inlineStr">
        <is>
          <t>maxvit_t_palpebral_new_way</t>
        </is>
      </c>
      <c r="B9" s="5" t="inlineStr">
        <is>
          <t>palpebral</t>
        </is>
      </c>
      <c r="C9" s="5" t="n">
        <v>14</v>
      </c>
      <c r="D9" s="8" t="n">
        <v>0.7857142857142857</v>
      </c>
      <c r="E9" s="8" t="n">
        <v>0.7692307692307693</v>
      </c>
      <c r="F9" s="8" t="n">
        <v>1</v>
      </c>
      <c r="G9" s="8" t="n">
        <v>0.25</v>
      </c>
      <c r="H9" s="8" t="n">
        <v>0.625</v>
      </c>
      <c r="I9" s="8" t="n">
        <v>0.8695652173913043</v>
      </c>
      <c r="J9" s="8" t="n">
        <v>0.6</v>
      </c>
      <c r="K9" s="4" t="inlineStr">
        <is>
          <t>1/3/0/10</t>
        </is>
      </c>
      <c r="L9" s="4" t="n">
        <v>19</v>
      </c>
      <c r="M9" s="8" t="n">
        <v>0.9473684210526315</v>
      </c>
      <c r="N9" s="8" t="n">
        <v>0.8</v>
      </c>
      <c r="O9" s="8" t="n">
        <v>1</v>
      </c>
      <c r="P9" s="8" t="n">
        <v>0.9333333333333333</v>
      </c>
      <c r="Q9" s="8" t="n">
        <v>0.9666666666666667</v>
      </c>
      <c r="R9" s="8" t="n">
        <v>0.8888888888888888</v>
      </c>
      <c r="S9" s="8" t="n">
        <v>0.9666666666666667</v>
      </c>
      <c r="T9" s="4" t="inlineStr">
        <is>
          <t>14/1/0/4</t>
        </is>
      </c>
    </row>
    <row r="10">
      <c r="A10" s="5" t="inlineStr">
        <is>
          <t>regnet_y_16gf_palpebral_new_way</t>
        </is>
      </c>
      <c r="B10" s="5" t="inlineStr">
        <is>
          <t>palpebral</t>
        </is>
      </c>
      <c r="C10" s="5" t="n">
        <v>14</v>
      </c>
      <c r="D10" s="8" t="n">
        <v>0.8571428571428571</v>
      </c>
      <c r="E10" s="8" t="n">
        <v>0.8333333333333334</v>
      </c>
      <c r="F10" s="8" t="n">
        <v>1</v>
      </c>
      <c r="G10" s="8" t="n">
        <v>0.5</v>
      </c>
      <c r="H10" s="8" t="n">
        <v>0.75</v>
      </c>
      <c r="I10" s="8" t="n">
        <v>0.9090909090909091</v>
      </c>
      <c r="J10" s="8" t="n">
        <v>0.8</v>
      </c>
      <c r="K10" s="4" t="inlineStr">
        <is>
          <t>2/2/0/10</t>
        </is>
      </c>
      <c r="L10" s="4" t="n">
        <v>19</v>
      </c>
      <c r="M10" s="8" t="n">
        <v>0.8947368421052632</v>
      </c>
      <c r="N10" s="8" t="n">
        <v>0.75</v>
      </c>
      <c r="O10" s="8" t="n">
        <v>0.75</v>
      </c>
      <c r="P10" s="8" t="n">
        <v>0.9333333333333333</v>
      </c>
      <c r="Q10" s="8" t="n">
        <v>0.8416666666666667</v>
      </c>
      <c r="R10" s="8" t="n">
        <v>0.75</v>
      </c>
      <c r="S10" s="8" t="n">
        <v>0.9</v>
      </c>
      <c r="T10" s="4" t="inlineStr">
        <is>
          <t>14/1/1/3</t>
        </is>
      </c>
    </row>
    <row r="11">
      <c r="A11" s="5" t="inlineStr">
        <is>
          <t>efficientnet_b4_palpebral_new_way</t>
        </is>
      </c>
      <c r="B11" s="5" t="inlineStr">
        <is>
          <t>palpebral</t>
        </is>
      </c>
      <c r="C11" s="5" t="n">
        <v>14</v>
      </c>
      <c r="D11" s="8" t="n">
        <v>0.8571428571428571</v>
      </c>
      <c r="E11" s="8" t="n">
        <v>0.9</v>
      </c>
      <c r="F11" s="8" t="n">
        <v>0.9</v>
      </c>
      <c r="G11" s="8" t="n">
        <v>0.75</v>
      </c>
      <c r="H11" s="8" t="n">
        <v>0.825</v>
      </c>
      <c r="I11" s="8" t="n">
        <v>0.9</v>
      </c>
      <c r="J11" s="8" t="n">
        <v>0.8</v>
      </c>
      <c r="K11" s="4" t="inlineStr">
        <is>
          <t>3/1/1/9</t>
        </is>
      </c>
      <c r="L11" s="4" t="n">
        <v>19</v>
      </c>
      <c r="M11" s="8" t="n">
        <v>0.8947368421052632</v>
      </c>
      <c r="N11" s="8" t="n">
        <v>0.75</v>
      </c>
      <c r="O11" s="8" t="n">
        <v>0.75</v>
      </c>
      <c r="P11" s="8" t="n">
        <v>0.9333333333333333</v>
      </c>
      <c r="Q11" s="8" t="n">
        <v>0.8416666666666667</v>
      </c>
      <c r="R11" s="8" t="n">
        <v>0.75</v>
      </c>
      <c r="S11" s="8" t="n">
        <v>0.8500000000000001</v>
      </c>
      <c r="T11" s="4" t="inlineStr">
        <is>
          <t>14/1/1/3</t>
        </is>
      </c>
    </row>
    <row r="12">
      <c r="A12" s="5" t="inlineStr">
        <is>
          <t>maxvit_small_palpebral_new_way</t>
        </is>
      </c>
      <c r="B12" s="5" t="inlineStr">
        <is>
          <t>palpebral</t>
        </is>
      </c>
      <c r="C12" s="5" t="n">
        <v>14</v>
      </c>
      <c r="D12" s="8" t="n">
        <v>0.8571428571428571</v>
      </c>
      <c r="E12" s="8" t="n">
        <v>0.9</v>
      </c>
      <c r="F12" s="8" t="n">
        <v>0.9</v>
      </c>
      <c r="G12" s="8" t="n">
        <v>0.75</v>
      </c>
      <c r="H12" s="8" t="n">
        <v>0.825</v>
      </c>
      <c r="I12" s="8" t="n">
        <v>0.9</v>
      </c>
      <c r="J12" s="8" t="n">
        <v>0.8250000000000001</v>
      </c>
      <c r="K12" s="4" t="inlineStr">
        <is>
          <t>3/1/1/9</t>
        </is>
      </c>
      <c r="L12" s="4" t="n">
        <v>19</v>
      </c>
      <c r="M12" s="8" t="n">
        <v>0.8947368421052632</v>
      </c>
      <c r="N12" s="8" t="n">
        <v>0.75</v>
      </c>
      <c r="O12" s="8" t="n">
        <v>0.75</v>
      </c>
      <c r="P12" s="8" t="n">
        <v>0.9333333333333333</v>
      </c>
      <c r="Q12" s="8" t="n">
        <v>0.8416666666666667</v>
      </c>
      <c r="R12" s="8" t="n">
        <v>0.75</v>
      </c>
      <c r="S12" s="8" t="n">
        <v>0.9333333333333333</v>
      </c>
      <c r="T12" s="4" t="inlineStr">
        <is>
          <t>14/1/1/3</t>
        </is>
      </c>
    </row>
    <row r="13">
      <c r="A13" s="5" t="inlineStr">
        <is>
          <t>coatnet_3_forniceal_palpebral_new_way</t>
        </is>
      </c>
      <c r="B13" s="5" t="inlineStr">
        <is>
          <t>forniceal_palpebral</t>
        </is>
      </c>
      <c r="C13" s="5" t="n">
        <v>14</v>
      </c>
      <c r="D13" s="8" t="n">
        <v>0.7142857142857143</v>
      </c>
      <c r="E13" s="8" t="n">
        <v>0.7142857142857143</v>
      </c>
      <c r="F13" s="8" t="n">
        <v>1</v>
      </c>
      <c r="G13" s="8" t="n">
        <v>0</v>
      </c>
      <c r="H13" s="8" t="n">
        <v>0.5</v>
      </c>
      <c r="I13" s="8" t="n">
        <v>0.8333333333333334</v>
      </c>
      <c r="J13" s="8" t="n">
        <v>0.475</v>
      </c>
      <c r="K13" s="4" t="inlineStr">
        <is>
          <t>0/4/0/10</t>
        </is>
      </c>
      <c r="L13" s="4" t="n">
        <v>17</v>
      </c>
      <c r="M13" s="8" t="n">
        <v>0.8235294117647058</v>
      </c>
      <c r="N13" s="8" t="n">
        <v>0.5714285714285714</v>
      </c>
      <c r="O13" s="8" t="n">
        <v>1</v>
      </c>
      <c r="P13" s="8" t="n">
        <v>0.7692307692307693</v>
      </c>
      <c r="Q13" s="8" t="n">
        <v>0.8846153846153846</v>
      </c>
      <c r="R13" s="8" t="n">
        <v>0.7272727272727273</v>
      </c>
      <c r="S13" s="8" t="n">
        <v>0.8846153846153846</v>
      </c>
      <c r="T13" s="4" t="inlineStr">
        <is>
          <t>10/3/0/4</t>
        </is>
      </c>
    </row>
    <row r="14">
      <c r="A14" s="5" t="inlineStr">
        <is>
          <t>efficientnet_b4_forniceal_palpebral_new_way</t>
        </is>
      </c>
      <c r="B14" s="5" t="inlineStr">
        <is>
          <t>forniceal_palpebral</t>
        </is>
      </c>
      <c r="C14" s="5" t="n">
        <v>14</v>
      </c>
      <c r="D14" s="8" t="n">
        <v>0.6428571428571429</v>
      </c>
      <c r="E14" s="8" t="n">
        <v>0.7777777777777778</v>
      </c>
      <c r="F14" s="8" t="n">
        <v>0.7</v>
      </c>
      <c r="G14" s="8" t="n">
        <v>0.5</v>
      </c>
      <c r="H14" s="8" t="n">
        <v>0.6</v>
      </c>
      <c r="I14" s="8" t="n">
        <v>0.7368421052631579</v>
      </c>
      <c r="J14" s="8" t="n">
        <v>0.475</v>
      </c>
      <c r="K14" s="4" t="inlineStr">
        <is>
          <t>2/2/3/7</t>
        </is>
      </c>
      <c r="L14" s="4" t="n">
        <v>17</v>
      </c>
      <c r="M14" s="8" t="n">
        <v>0.9411764705882353</v>
      </c>
      <c r="N14" s="8" t="n">
        <v>0.8</v>
      </c>
      <c r="O14" s="8" t="n">
        <v>1</v>
      </c>
      <c r="P14" s="8" t="n">
        <v>0.9230769230769231</v>
      </c>
      <c r="Q14" s="8" t="n">
        <v>0.9615384615384616</v>
      </c>
      <c r="R14" s="8" t="n">
        <v>0.8888888888888888</v>
      </c>
      <c r="S14" s="8" t="n">
        <v>0.9807692307692308</v>
      </c>
      <c r="T14" s="4" t="inlineStr">
        <is>
          <t>12/1/0/4</t>
        </is>
      </c>
    </row>
    <row r="15">
      <c r="A15" s="5" t="inlineStr">
        <is>
          <t>convnext_base_forniceal_palpebral_new_way</t>
        </is>
      </c>
      <c r="B15" s="5" t="inlineStr">
        <is>
          <t>forniceal_palpebral</t>
        </is>
      </c>
      <c r="C15" s="5" t="n">
        <v>14</v>
      </c>
      <c r="D15" s="8" t="n">
        <v>0.7142857142857143</v>
      </c>
      <c r="E15" s="8" t="n">
        <v>0.875</v>
      </c>
      <c r="F15" s="8" t="n">
        <v>0.7</v>
      </c>
      <c r="G15" s="8" t="n">
        <v>0.75</v>
      </c>
      <c r="H15" s="8" t="n">
        <v>0.725</v>
      </c>
      <c r="I15" s="8" t="n">
        <v>0.7777777777777778</v>
      </c>
      <c r="J15" s="8" t="n">
        <v>0.6749999999999999</v>
      </c>
      <c r="K15" s="4" t="inlineStr">
        <is>
          <t>3/1/3/7</t>
        </is>
      </c>
      <c r="L15" s="4" t="n">
        <v>17</v>
      </c>
      <c r="M15" s="8" t="n">
        <v>0.8235294117647058</v>
      </c>
      <c r="N15" s="8" t="n">
        <v>0.5714285714285714</v>
      </c>
      <c r="O15" s="8" t="n">
        <v>1</v>
      </c>
      <c r="P15" s="8" t="n">
        <v>0.7692307692307693</v>
      </c>
      <c r="Q15" s="8" t="n">
        <v>0.8846153846153846</v>
      </c>
      <c r="R15" s="8" t="n">
        <v>0.7272727272727273</v>
      </c>
      <c r="S15" s="8" t="n">
        <v>0.9038461538461539</v>
      </c>
      <c r="T15" s="4" t="inlineStr">
        <is>
          <t>10/3/0/4</t>
        </is>
      </c>
    </row>
    <row r="16">
      <c r="A16" s="5" t="inlineStr">
        <is>
          <t>regnet_y_16gf_forniceal_palpebral_new_way</t>
        </is>
      </c>
      <c r="B16" s="5" t="inlineStr">
        <is>
          <t>forniceal_palpebral</t>
        </is>
      </c>
      <c r="C16" s="5" t="n">
        <v>14</v>
      </c>
      <c r="D16" s="8" t="n">
        <v>0.6428571428571429</v>
      </c>
      <c r="E16" s="8" t="n">
        <v>0.7272727272727273</v>
      </c>
      <c r="F16" s="8" t="n">
        <v>0.8</v>
      </c>
      <c r="G16" s="8" t="n">
        <v>0.25</v>
      </c>
      <c r="H16" s="8" t="n">
        <v>0.525</v>
      </c>
      <c r="I16" s="8" t="n">
        <v>0.7619047619047619</v>
      </c>
      <c r="J16" s="8" t="n">
        <v>0.475</v>
      </c>
      <c r="K16" s="4" t="inlineStr">
        <is>
          <t>1/3/2/8</t>
        </is>
      </c>
      <c r="L16" s="4" t="n">
        <v>17</v>
      </c>
      <c r="M16" s="8" t="n">
        <v>0.8235294117647058</v>
      </c>
      <c r="N16" s="8" t="n">
        <v>0.5714285714285714</v>
      </c>
      <c r="O16" s="8" t="n">
        <v>1</v>
      </c>
      <c r="P16" s="8" t="n">
        <v>0.7692307692307693</v>
      </c>
      <c r="Q16" s="8" t="n">
        <v>0.8846153846153846</v>
      </c>
      <c r="R16" s="8" t="n">
        <v>0.7272727272727273</v>
      </c>
      <c r="S16" s="8" t="n">
        <v>0.9615384615384616</v>
      </c>
      <c r="T16" s="4" t="inlineStr">
        <is>
          <t>10/3/0/4</t>
        </is>
      </c>
    </row>
    <row r="17">
      <c r="A17" s="5" t="inlineStr">
        <is>
          <t>maxvit_t_forniceal_palpebral_new_way</t>
        </is>
      </c>
      <c r="B17" s="5" t="inlineStr">
        <is>
          <t>forniceal_palpebral</t>
        </is>
      </c>
      <c r="C17" s="5" t="n">
        <v>14</v>
      </c>
      <c r="D17" s="8" t="n">
        <v>0.7857142857142857</v>
      </c>
      <c r="E17" s="8" t="n">
        <v>0.7692307692307693</v>
      </c>
      <c r="F17" s="8" t="n">
        <v>1</v>
      </c>
      <c r="G17" s="8" t="n">
        <v>0.25</v>
      </c>
      <c r="H17" s="8" t="n">
        <v>0.625</v>
      </c>
      <c r="I17" s="8" t="n">
        <v>0.8695652173913043</v>
      </c>
      <c r="J17" s="8" t="n">
        <v>0.6</v>
      </c>
      <c r="K17" s="4" t="inlineStr">
        <is>
          <t>1/3/0/10</t>
        </is>
      </c>
      <c r="L17" s="4" t="n">
        <v>17</v>
      </c>
      <c r="M17" s="8" t="n">
        <v>0.6470588235294118</v>
      </c>
      <c r="N17" s="8" t="n">
        <v>0.375</v>
      </c>
      <c r="O17" s="8" t="n">
        <v>0.75</v>
      </c>
      <c r="P17" s="8" t="n">
        <v>0.6153846153846154</v>
      </c>
      <c r="Q17" s="8" t="n">
        <v>0.6826923076923077</v>
      </c>
      <c r="R17" s="8" t="n">
        <v>0.5</v>
      </c>
      <c r="S17" s="8" t="n">
        <v>0.6730769230769231</v>
      </c>
      <c r="T17" s="4" t="inlineStr">
        <is>
          <t>8/5/1/3</t>
        </is>
      </c>
    </row>
    <row r="18">
      <c r="A18" s="5" t="inlineStr">
        <is>
          <t>efficientnet_b3_palpebral_new_way</t>
        </is>
      </c>
      <c r="B18" s="5" t="inlineStr">
        <is>
          <t>palpebral</t>
        </is>
      </c>
      <c r="C18" s="5" t="n">
        <v>14</v>
      </c>
      <c r="D18" s="8" t="n">
        <v>0.7142857142857143</v>
      </c>
      <c r="E18" s="8" t="n">
        <v>0.875</v>
      </c>
      <c r="F18" s="8" t="n">
        <v>0.7</v>
      </c>
      <c r="G18" s="8" t="n">
        <v>0.75</v>
      </c>
      <c r="H18" s="8" t="n">
        <v>0.725</v>
      </c>
      <c r="I18" s="8" t="n">
        <v>0.7777777777777778</v>
      </c>
      <c r="J18" s="8" t="n">
        <v>0.625</v>
      </c>
      <c r="K18" s="4" t="inlineStr">
        <is>
          <t>3/1/3/7</t>
        </is>
      </c>
      <c r="L18" s="4" t="n">
        <v>19</v>
      </c>
      <c r="M18" s="8" t="n">
        <v>0.8421052631578947</v>
      </c>
      <c r="N18" s="8" t="n">
        <v>0.6666666666666666</v>
      </c>
      <c r="O18" s="8" t="n">
        <v>0.5</v>
      </c>
      <c r="P18" s="8" t="n">
        <v>0.9333333333333333</v>
      </c>
      <c r="Q18" s="8" t="n">
        <v>0.7166666666666667</v>
      </c>
      <c r="R18" s="8" t="n">
        <v>0.5714285714285714</v>
      </c>
      <c r="S18" s="8" t="n">
        <v>0.9333333333333333</v>
      </c>
      <c r="T18" s="4" t="inlineStr">
        <is>
          <t>14/1/2/2</t>
        </is>
      </c>
    </row>
    <row r="19">
      <c r="A19" s="5" t="inlineStr">
        <is>
          <t>maxvit_small_forniceal_palpebral_new_way</t>
        </is>
      </c>
      <c r="B19" s="5" t="inlineStr">
        <is>
          <t>forniceal_palpebral</t>
        </is>
      </c>
      <c r="C19" s="5" t="n">
        <v>14</v>
      </c>
      <c r="D19" s="8" t="n">
        <v>0.6428571428571429</v>
      </c>
      <c r="E19" s="8" t="n">
        <v>1</v>
      </c>
      <c r="F19" s="8" t="n">
        <v>0.5</v>
      </c>
      <c r="G19" s="8" t="n">
        <v>1</v>
      </c>
      <c r="H19" s="8" t="n">
        <v>0.75</v>
      </c>
      <c r="I19" s="8" t="n">
        <v>0.6666666666666666</v>
      </c>
      <c r="J19" s="8" t="n">
        <v>0.575</v>
      </c>
      <c r="K19" s="4" t="inlineStr">
        <is>
          <t>4/0/5/5</t>
        </is>
      </c>
      <c r="L19" s="4" t="n">
        <v>17</v>
      </c>
      <c r="M19" s="8" t="n">
        <v>0.8823529411764706</v>
      </c>
      <c r="N19" s="8" t="n">
        <v>0.6666666666666666</v>
      </c>
      <c r="O19" s="8" t="n">
        <v>1</v>
      </c>
      <c r="P19" s="8" t="n">
        <v>0.8461538461538461</v>
      </c>
      <c r="Q19" s="8" t="n">
        <v>0.9230769230769231</v>
      </c>
      <c r="R19" s="8" t="n">
        <v>0.8</v>
      </c>
      <c r="S19" s="8" t="n">
        <v>0.8846153846153846</v>
      </c>
      <c r="T19" s="4" t="inlineStr">
        <is>
          <t>11/2/0/4</t>
        </is>
      </c>
    </row>
    <row r="20">
      <c r="A20" s="5" t="inlineStr">
        <is>
          <t>convnext_large_forniceal_palpebral_new_way</t>
        </is>
      </c>
      <c r="B20" s="5" t="inlineStr">
        <is>
          <t>forniceal_palpebral</t>
        </is>
      </c>
      <c r="C20" s="5" t="n">
        <v>14</v>
      </c>
      <c r="D20" s="8" t="n">
        <v>0.7857142857142857</v>
      </c>
      <c r="E20" s="8" t="n">
        <v>0.7692307692307693</v>
      </c>
      <c r="F20" s="8" t="n">
        <v>1</v>
      </c>
      <c r="G20" s="8" t="n">
        <v>0.25</v>
      </c>
      <c r="H20" s="8" t="n">
        <v>0.625</v>
      </c>
      <c r="I20" s="8" t="n">
        <v>0.8695652173913043</v>
      </c>
      <c r="J20" s="8" t="n">
        <v>0.675</v>
      </c>
      <c r="K20" s="4" t="inlineStr">
        <is>
          <t>1/3/0/10</t>
        </is>
      </c>
      <c r="L20" s="4" t="n">
        <v>17</v>
      </c>
      <c r="M20" s="8" t="n">
        <v>0.3529411764705883</v>
      </c>
      <c r="N20" s="8" t="n">
        <v>0.2666666666666667</v>
      </c>
      <c r="O20" s="8" t="n">
        <v>1</v>
      </c>
      <c r="P20" s="8" t="n">
        <v>0.1538461538461539</v>
      </c>
      <c r="Q20" s="8" t="n">
        <v>0.5769230769230769</v>
      </c>
      <c r="R20" s="8" t="n">
        <v>0.4210526315789473</v>
      </c>
      <c r="S20" s="8" t="n">
        <v>0.7692307692307692</v>
      </c>
      <c r="T20" s="4" t="inlineStr">
        <is>
          <t>2/11/0/4</t>
        </is>
      </c>
    </row>
  </sheetData>
  <autoFilter ref="A4:T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1" customWidth="1" min="4" max="4"/>
    <col width="11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Best Hyperparameters per Model</t>
        </is>
      </c>
    </row>
    <row r="2">
      <c r="A2" s="2" t="inlineStr">
        <is>
          <t>Optuna-tuned per trial: learning_rate ~ LogUniform(1e-4, 1e-1), weight_decay ~ LogUniform(1e-6, 1e-3), dropout_rate in {0.2, 0.5}. Values shown are the winning trial's.</t>
        </is>
      </c>
    </row>
    <row r="4">
      <c r="A4" s="3" t="inlineStr">
        <is>
          <t>Model</t>
        </is>
      </c>
      <c r="B4" s="3" t="inlineStr">
        <is>
          <t>Tissue Type</t>
        </is>
      </c>
      <c r="C4" s="3" t="inlineStr">
        <is>
          <t>Architecture Family</t>
        </is>
      </c>
      <c r="D4" s="3" t="inlineStr">
        <is>
          <t>N Trials Run</t>
        </is>
      </c>
      <c r="E4" s="3" t="inlineStr">
        <is>
          <t>Best Trial #</t>
        </is>
      </c>
      <c r="F4" s="3" t="inlineStr">
        <is>
          <t>Learning Rate</t>
        </is>
      </c>
      <c r="G4" s="3" t="inlineStr">
        <is>
          <t>Weight Decay</t>
        </is>
      </c>
      <c r="H4" s="3" t="inlineStr">
        <is>
          <t>Dropout Rate</t>
        </is>
      </c>
    </row>
    <row r="5">
      <c r="A5" s="5" t="inlineStr">
        <is>
          <t>coatnet_3_forniceal_palpebral_new_way</t>
        </is>
      </c>
      <c r="B5" s="5" t="inlineStr">
        <is>
          <t>forniceal_palpebral</t>
        </is>
      </c>
      <c r="C5" s="5" t="inlineStr">
        <is>
          <t>Hybrid</t>
        </is>
      </c>
      <c r="D5" s="4" t="n">
        <v>12</v>
      </c>
      <c r="E5" s="4" t="n">
        <v>8</v>
      </c>
      <c r="F5" s="7" t="n">
        <v>0.008533716477932937</v>
      </c>
      <c r="G5" s="7" t="n">
        <v>1.217404417807552e-06</v>
      </c>
      <c r="H5" s="6" t="n">
        <v>0.2</v>
      </c>
    </row>
    <row r="6">
      <c r="A6" s="5" t="inlineStr">
        <is>
          <t>coatnet_3_palpebral_new_way</t>
        </is>
      </c>
      <c r="B6" s="5" t="inlineStr">
        <is>
          <t>palpebral</t>
        </is>
      </c>
      <c r="C6" s="5" t="inlineStr">
        <is>
          <t>Hybrid</t>
        </is>
      </c>
      <c r="D6" s="4" t="n">
        <v>12</v>
      </c>
      <c r="E6" s="4" t="n">
        <v>9</v>
      </c>
      <c r="F6" s="7" t="n">
        <v>0.001124943613008529</v>
      </c>
      <c r="G6" s="7" t="n">
        <v>0.0001185673711203719</v>
      </c>
      <c r="H6" s="6" t="n">
        <v>0.2</v>
      </c>
    </row>
    <row r="7">
      <c r="A7" s="5" t="inlineStr">
        <is>
          <t>convnext_base_forniceal_palpebral_new_way</t>
        </is>
      </c>
      <c r="B7" s="5" t="inlineStr">
        <is>
          <t>forniceal_palpebral</t>
        </is>
      </c>
      <c r="C7" s="5" t="inlineStr">
        <is>
          <t>CNN</t>
        </is>
      </c>
      <c r="D7" s="4" t="n">
        <v>12</v>
      </c>
      <c r="E7" s="4" t="n">
        <v>5</v>
      </c>
      <c r="F7" s="7" t="n">
        <v>0.08088564223049027</v>
      </c>
      <c r="G7" s="7" t="n">
        <v>1.042297146664846e-06</v>
      </c>
      <c r="H7" s="6" t="n">
        <v>0.5</v>
      </c>
    </row>
    <row r="8">
      <c r="A8" s="5" t="inlineStr">
        <is>
          <t>convnext_base_palpebral_new_way</t>
        </is>
      </c>
      <c r="B8" s="5" t="inlineStr">
        <is>
          <t>palpebral</t>
        </is>
      </c>
      <c r="C8" s="5" t="inlineStr">
        <is>
          <t>CNN</t>
        </is>
      </c>
      <c r="D8" s="4" t="n">
        <v>12</v>
      </c>
      <c r="E8" s="4" t="n">
        <v>5</v>
      </c>
      <c r="F8" s="7" t="n">
        <v>0.0001235308191492332</v>
      </c>
      <c r="G8" s="7" t="n">
        <v>1.042297146664846e-06</v>
      </c>
      <c r="H8" s="6" t="n">
        <v>0.5</v>
      </c>
    </row>
    <row r="9">
      <c r="A9" s="5" t="inlineStr">
        <is>
          <t>convnext_large_forniceal_palpebral_new_way</t>
        </is>
      </c>
      <c r="B9" s="5" t="inlineStr">
        <is>
          <t>forniceal_palpebral</t>
        </is>
      </c>
      <c r="C9" s="5" t="inlineStr">
        <is>
          <t>CNN</t>
        </is>
      </c>
      <c r="D9" s="4" t="n">
        <v>12</v>
      </c>
      <c r="E9" s="4" t="n">
        <v>0</v>
      </c>
      <c r="F9" s="7" t="n">
        <v>0.001329291894316217</v>
      </c>
      <c r="G9" s="7" t="n">
        <v>0.0007114476009343421</v>
      </c>
      <c r="H9" s="6" t="n">
        <v>0.2</v>
      </c>
    </row>
    <row r="10">
      <c r="A10" s="5" t="inlineStr">
        <is>
          <t>convnext_large_palpebral_new_way</t>
        </is>
      </c>
      <c r="B10" s="5" t="inlineStr">
        <is>
          <t>palpebral</t>
        </is>
      </c>
      <c r="C10" s="5" t="inlineStr">
        <is>
          <t>CNN</t>
        </is>
      </c>
      <c r="D10" s="4" t="n">
        <v>12</v>
      </c>
      <c r="E10" s="4" t="n">
        <v>7</v>
      </c>
      <c r="F10" s="7" t="n">
        <v>0.0001113741490829351</v>
      </c>
      <c r="G10" s="7" t="n">
        <v>2.205928214697931e-05</v>
      </c>
      <c r="H10" s="6" t="n">
        <v>0.2</v>
      </c>
    </row>
    <row r="11">
      <c r="A11" s="5" t="inlineStr">
        <is>
          <t>efficientnet_b3_forniceal_palpebral_new_way</t>
        </is>
      </c>
      <c r="B11" s="5" t="inlineStr">
        <is>
          <t>forniceal_palpebral</t>
        </is>
      </c>
      <c r="C11" s="5" t="inlineStr">
        <is>
          <t>CNN</t>
        </is>
      </c>
      <c r="D11" s="4" t="n">
        <v>12</v>
      </c>
      <c r="E11" s="4" t="n">
        <v>2</v>
      </c>
      <c r="F11" s="7" t="n">
        <v>0.006358358856676255</v>
      </c>
      <c r="G11" s="7" t="n">
        <v>0.000133112160807369</v>
      </c>
      <c r="H11" s="6" t="n">
        <v>0.5</v>
      </c>
    </row>
    <row r="12">
      <c r="A12" s="5" t="inlineStr">
        <is>
          <t>efficientnet_b3_palpebral_new_way</t>
        </is>
      </c>
      <c r="B12" s="5" t="inlineStr">
        <is>
          <t>palpebral</t>
        </is>
      </c>
      <c r="C12" s="5" t="inlineStr">
        <is>
          <t>CNN</t>
        </is>
      </c>
      <c r="D12" s="4" t="n">
        <v>12</v>
      </c>
      <c r="E12" s="4" t="n">
        <v>6</v>
      </c>
      <c r="F12" s="7" t="n">
        <v>0.002691422871453577</v>
      </c>
      <c r="G12" s="7" t="n">
        <v>0.0008513157404824219</v>
      </c>
      <c r="H12" s="6" t="n">
        <v>0.2</v>
      </c>
    </row>
    <row r="13">
      <c r="A13" s="5" t="inlineStr">
        <is>
          <t>efficientnet_b4_forniceal_palpebral_new_way</t>
        </is>
      </c>
      <c r="B13" s="5" t="inlineStr">
        <is>
          <t>forniceal_palpebral</t>
        </is>
      </c>
      <c r="C13" s="5" t="inlineStr">
        <is>
          <t>CNN</t>
        </is>
      </c>
      <c r="D13" s="4" t="n">
        <v>12</v>
      </c>
      <c r="E13" s="4" t="n">
        <v>4</v>
      </c>
      <c r="F13" s="7" t="n">
        <v>0.0008179499475211679</v>
      </c>
      <c r="G13" s="7" t="n">
        <v>3.752055855124284e-05</v>
      </c>
      <c r="H13" s="6" t="n">
        <v>0.2</v>
      </c>
    </row>
    <row r="14">
      <c r="A14" s="5" t="inlineStr">
        <is>
          <t>efficientnet_b4_palpebral_new_way</t>
        </is>
      </c>
      <c r="B14" s="5" t="inlineStr">
        <is>
          <t>palpebral</t>
        </is>
      </c>
      <c r="C14" s="5" t="inlineStr">
        <is>
          <t>CNN</t>
        </is>
      </c>
      <c r="D14" s="4" t="n">
        <v>12</v>
      </c>
      <c r="E14" s="4" t="n">
        <v>5</v>
      </c>
      <c r="F14" s="7" t="n">
        <v>0.0001235308191492332</v>
      </c>
      <c r="G14" s="7" t="n">
        <v>1.042297146664846e-06</v>
      </c>
      <c r="H14" s="6" t="n">
        <v>0.5</v>
      </c>
    </row>
    <row r="15">
      <c r="A15" s="5" t="inlineStr">
        <is>
          <t>maxvit_small_forniceal_palpebral_new_way</t>
        </is>
      </c>
      <c r="B15" s="5" t="inlineStr">
        <is>
          <t>forniceal_palpebral</t>
        </is>
      </c>
      <c r="C15" s="5" t="inlineStr">
        <is>
          <t>Hybrid</t>
        </is>
      </c>
      <c r="D15" s="4" t="n">
        <v>12</v>
      </c>
      <c r="E15" s="4" t="n">
        <v>4</v>
      </c>
      <c r="F15" s="7" t="n">
        <v>0.0008179499475211679</v>
      </c>
      <c r="G15" s="7" t="n">
        <v>3.752055855124284e-05</v>
      </c>
      <c r="H15" s="6" t="n">
        <v>0.2</v>
      </c>
    </row>
    <row r="16">
      <c r="A16" s="5" t="inlineStr">
        <is>
          <t>maxvit_small_palpebral_new_way</t>
        </is>
      </c>
      <c r="B16" s="5" t="inlineStr">
        <is>
          <t>palpebral</t>
        </is>
      </c>
      <c r="C16" s="5" t="inlineStr">
        <is>
          <t>Hybrid</t>
        </is>
      </c>
      <c r="D16" s="4" t="n">
        <v>12</v>
      </c>
      <c r="E16" s="4" t="n">
        <v>4</v>
      </c>
      <c r="F16" s="7" t="n">
        <v>0.0008179499475211679</v>
      </c>
      <c r="G16" s="7" t="n">
        <v>3.752055855124284e-05</v>
      </c>
      <c r="H16" s="6" t="n">
        <v>0.2</v>
      </c>
    </row>
    <row r="17">
      <c r="A17" s="5" t="inlineStr">
        <is>
          <t>maxvit_t_forniceal_palpebral_new_way</t>
        </is>
      </c>
      <c r="B17" s="5" t="inlineStr">
        <is>
          <t>forniceal_palpebral</t>
        </is>
      </c>
      <c r="C17" s="5" t="inlineStr">
        <is>
          <t>Hybrid</t>
        </is>
      </c>
      <c r="D17" s="4" t="n">
        <v>12</v>
      </c>
      <c r="E17" s="4" t="n">
        <v>2</v>
      </c>
      <c r="F17" s="7" t="n">
        <v>0.006358358856676255</v>
      </c>
      <c r="G17" s="7" t="n">
        <v>0.000133112160807369</v>
      </c>
      <c r="H17" s="6" t="n">
        <v>0.5</v>
      </c>
    </row>
    <row r="18">
      <c r="A18" s="5" t="inlineStr">
        <is>
          <t>maxvit_t_palpebral_new_way</t>
        </is>
      </c>
      <c r="B18" s="5" t="inlineStr">
        <is>
          <t>palpebral</t>
        </is>
      </c>
      <c r="C18" s="5" t="inlineStr">
        <is>
          <t>Hybrid</t>
        </is>
      </c>
      <c r="D18" s="4" t="n">
        <v>12</v>
      </c>
      <c r="E18" s="4" t="n">
        <v>4</v>
      </c>
      <c r="F18" s="7" t="n">
        <v>0.0008179499475211679</v>
      </c>
      <c r="G18" s="7" t="n">
        <v>3.752055855124284e-05</v>
      </c>
      <c r="H18" s="6" t="n">
        <v>0.2</v>
      </c>
    </row>
    <row r="19">
      <c r="A19" s="5" t="inlineStr">
        <is>
          <t>regnet_y_16gf_forniceal_palpebral_new_way</t>
        </is>
      </c>
      <c r="B19" s="5" t="inlineStr">
        <is>
          <t>forniceal_palpebral</t>
        </is>
      </c>
      <c r="C19" s="5" t="inlineStr">
        <is>
          <t>CNN</t>
        </is>
      </c>
      <c r="D19" s="4" t="n">
        <v>12</v>
      </c>
      <c r="E19" s="4" t="n">
        <v>1</v>
      </c>
      <c r="F19" s="7" t="n">
        <v>0.0002938027938703536</v>
      </c>
      <c r="G19" s="7" t="n">
        <v>2.937538457632831e-06</v>
      </c>
      <c r="H19" s="6" t="n">
        <v>0.5</v>
      </c>
    </row>
    <row r="20">
      <c r="A20" s="5" t="inlineStr">
        <is>
          <t>regnet_y_16gf_palpebral_new_way</t>
        </is>
      </c>
      <c r="B20" s="5" t="inlineStr">
        <is>
          <t>palpebral</t>
        </is>
      </c>
      <c r="C20" s="5" t="inlineStr">
        <is>
          <t>CNN</t>
        </is>
      </c>
      <c r="D20" s="4" t="n">
        <v>12</v>
      </c>
      <c r="E20" s="4" t="n">
        <v>8</v>
      </c>
      <c r="F20" s="7" t="n">
        <v>0.006464900601177843</v>
      </c>
      <c r="G20" s="7" t="n">
        <v>1.217404417807552e-06</v>
      </c>
      <c r="H20" s="6" t="n">
        <v>0.2</v>
      </c>
    </row>
  </sheetData>
  <autoFilter ref="A4:H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Notes &amp; Provenance</t>
        </is>
      </c>
    </row>
    <row r="2">
      <c r="A2" s="14" t="inlineStr"/>
    </row>
    <row r="3">
      <c r="A3" s="14" t="inlineStr">
        <is>
          <t>Data source: classification/new_way/Output/logs/*_study_summary.json, read directly (16 files, one per combo).</t>
        </is>
      </c>
    </row>
    <row r="4">
      <c r="A4" s="14" t="inlineStr">
        <is>
          <t>This is the real Kaggle run committed 2026-08-11 (commit 4f89390 "v2_clean_scripts is added") -- see classification/.project_memory/08_new_way_architecture_roster.md §8.</t>
        </is>
      </c>
    </row>
    <row r="5">
      <c r="A5" s="14" t="inlineStr"/>
    </row>
    <row r="6">
      <c r="A6" s="14" t="inlineStr">
        <is>
          <t>All metrics are from the VALIDATION split, at the single best trial (by validation F1) of each combo's 12-trial Optuna search -- not the held-out test set.</t>
        </is>
      </c>
    </row>
    <row r="7">
      <c r="A7" s="14" t="inlineStr"/>
    </row>
    <row r="8">
      <c r="A8" s="14" t="inlineStr">
        <is>
          <t>"sensitivity" and "recall" are the same quantity for the anemic (positive) class -- only "Recall" is shown to avoid a duplicate column.</t>
        </is>
      </c>
    </row>
    <row r="9">
      <c r="A9" s="14" t="inlineStr"/>
    </row>
    <row r="10">
      <c r="A10" s="14" t="inlineStr">
        <is>
          <t>Known issue: convnext_large_forniceal_palpebral_new_way (flagged red on the Summary sheet) has its best trial at trial 0 -- no improvement found across the remaining 11 trials -- and accuracy 0.548 (near chance), with 14 false positives against only 3 true negatives. This looks like a collapsed run, not a genuinely weak one. Not yet root-caused. Do not cite this combo's numbers without investigating further.</t>
        </is>
      </c>
    </row>
    <row r="11">
      <c r="A11" s="14" t="inlineStr"/>
    </row>
    <row r="12">
      <c r="A12" s="14" t="inlineStr">
        <is>
          <t>Architecture family/tier/parameter counts are cited from classification/.project_memory/08_new_way_architecture_roster.md §2 (verified by constructing each model and summing p.numel()), not re-measured for this workbook.</t>
        </is>
      </c>
    </row>
    <row r="13">
      <c r="A13" s="14" t="inlineStr"/>
    </row>
    <row r="14">
      <c r="A14" s="14" t="inlineStr">
        <is>
          <t>India/Italy AUC Gap = |AUC(India) - AUC(Italy)|, computed by formula in this workbook, not hardcoded. This project treats a large gap as evidence a model may be exploiting the India/Italy demographic confound (root CLAUDE.md §0.5) rather than genuine conjunctival pallor -- see classification/.project_memory/07_step1_measurement_harness.md for the fuller defensibility analysis, and note that project's own caveat that per-model AUC rankings at this sample size (India val n=14, Italy val n=17-19) are noisy and should not be over-interpreted individually.</t>
        </is>
      </c>
    </row>
    <row r="15">
      <c r="A15" s="14" t="inlineStr"/>
    </row>
    <row r="16">
      <c r="A16" s="14" t="inlineStr">
        <is>
          <t>Generated by build_comparison_excel.py in this same folder -- re-run it to refresh this workbook if the underlying study_summary.json files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2026-08-12T12:50:35Z</dcterms:created>
  <dcterms:modified xmlns:dcterms="http://purl.org/dc/terms/" xmlns:xsi="http://www.w3.org/2001/XMLSchema-instance" xsi:type="dcterms:W3CDTF">2026-08-12T12:50:36Z</dcterms:modified>
</cp:coreProperties>
</file>